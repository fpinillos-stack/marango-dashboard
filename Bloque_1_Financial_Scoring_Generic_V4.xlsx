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177369afe0b533fe/Escritorio/IA OS/Dashboard/streamlit-app/"/>
    </mc:Choice>
  </mc:AlternateContent>
  <xr:revisionPtr revIDLastSave="2" documentId="8_{B7A6B52F-38C9-4025-BAB6-84BD129FEE21}" xr6:coauthVersionLast="47" xr6:coauthVersionMax="47" xr10:uidLastSave="{0C37EC64-50F1-4345-8A35-1C42E2E1A4D3}"/>
  <bookViews>
    <workbookView xWindow="-103" yWindow="-103" windowWidth="19543" windowHeight="12377" xr2:uid="{00000000-000D-0000-FFFF-FFFF00000000}"/>
  </bookViews>
  <sheets>
    <sheet name="Generic Scoring" sheetId="19" r:id="rId1"/>
    <sheet name="Generic Dashboard" sheetId="20" r:id="rId2"/>
    <sheet name="DCF Simplified" sheetId="24" r:id="rId3"/>
    <sheet name="Rebalancing" sheetId="23" r:id="rId4"/>
    <sheet name="Score History" sheetId="22" r:id="rId5"/>
    <sheet name="Generic Parameters" sheetId="18" r:id="rId6"/>
    <sheet name="Guia del Modelo" sheetId="31" r:id="rId7"/>
  </sheets>
  <definedNames>
    <definedName name="GP_BY_Sectors">'Generic Parameters'!$A$260:$A$270</definedName>
    <definedName name="GP_BY_T">'Generic Parameters'!$B$260:$M$270</definedName>
    <definedName name="GP_CR_Sectors">'Generic Parameters'!$A$120:$A$130</definedName>
    <definedName name="GP_CR_T">'Generic Parameters'!$B$120:$M$130</definedName>
    <definedName name="GP_CX_Sectors">'Generic Parameters'!$A$176:$A$186</definedName>
    <definedName name="GP_CX_T">'Generic Parameters'!$B$176:$M$186</definedName>
    <definedName name="GP_DY_Sectors">'Generic Parameters'!$A$232:$A$242</definedName>
    <definedName name="GP_DY_T">'Generic Parameters'!$B$232:$M$242</definedName>
    <definedName name="GP_EG_Sectors">'Generic Parameters'!$A$78:$A$88</definedName>
    <definedName name="GP_EG_T">'Generic Parameters'!$B$78:$M$88</definedName>
    <definedName name="GP_EV_Sectors">'Generic Parameters'!$A$204:$A$214</definedName>
    <definedName name="GP_EV_T">'Generic Parameters'!$B$204:$M$214</definedName>
    <definedName name="GP_FM_Sectors">'Generic Parameters'!$A$148:$A$158</definedName>
    <definedName name="GP_FM_T">'Generic Parameters'!$B$148:$M$158</definedName>
    <definedName name="GP_FN_Sectors">'Generic Parameters'!$A$162:$A$172</definedName>
    <definedName name="GP_FN_T">'Generic Parameters'!$B$162:$M$172</definedName>
    <definedName name="GP_IC_Sectors">'Generic Parameters'!$A$134:$A$144</definedName>
    <definedName name="GP_IC_T">'Generic Parameters'!$B$134:$M$144</definedName>
    <definedName name="GP_ND_Sectors">'Generic Parameters'!$A$106:$A$116</definedName>
    <definedName name="GP_ND_T">'Generic Parameters'!$B$106:$M$116</definedName>
    <definedName name="GP_NM_Sectors">'Generic Parameters'!$A$50:$A$60</definedName>
    <definedName name="GP_NM_T">'Generic Parameters'!$B$50:$M$60</definedName>
    <definedName name="GP_OL_Sectors">'Generic Parameters'!$A$92:$A$102</definedName>
    <definedName name="GP_OL_T">'Generic Parameters'!$B$92:$M$102</definedName>
    <definedName name="GP_PE_Sectors">'Generic Parameters'!$A$190:$A$200</definedName>
    <definedName name="GP_PE_T">'Generic Parameters'!$B$190:$M$200</definedName>
    <definedName name="GP_PF_Sectors">'Generic Parameters'!$A$218:$A$228</definedName>
    <definedName name="GP_PF_T">'Generic Parameters'!$B$218:$M$228</definedName>
    <definedName name="GP_PR_Sectors">'Generic Parameters'!$A$246:$A$256</definedName>
    <definedName name="GP_PR_T">'Generic Parameters'!$B$246:$M$256</definedName>
    <definedName name="GP_RG_Sectors">'Generic Parameters'!$A$64:$A$74</definedName>
    <definedName name="GP_RG_T">'Generic Parameters'!$B$64:$M$74</definedName>
    <definedName name="GP_ROE_Sectors">'Generic Parameters'!$A$22:$A$32</definedName>
    <definedName name="GP_ROE_T">'Generic Parameters'!$B$22:$M$32</definedName>
    <definedName name="GP_ROIC_Sectors">'Generic Parameters'!$A$36:$A$46</definedName>
    <definedName name="GP_ROIC_T">'Generic Parameters'!$B$36:$M$46</definedName>
    <definedName name="GP_W_P1">'Generic Parameters'!$B$6:$B$16</definedName>
    <definedName name="GP_W_P2">'Generic Parameters'!$C$6:$C$16</definedName>
    <definedName name="GP_W_P3">'Generic Parameters'!$D$6:$D$16</definedName>
    <definedName name="GP_W_P4">'Generic Parameters'!$E$6:$E$16</definedName>
    <definedName name="GP_W_P5">'Generic Parameters'!$F$6:$F$16</definedName>
    <definedName name="GP_W_P6">'Generic Parameters'!$G$6:$G$16</definedName>
    <definedName name="GP_Weights_Sectors">'Generic Parameters'!$A$6:$A$16</definedName>
    <definedName name="SP_AT_Sectors">#REF!</definedName>
    <definedName name="SP_AT_T">#REF!</definedName>
    <definedName name="SP_CC_Sectors">#REF!</definedName>
    <definedName name="SP_CC_T">#REF!</definedName>
    <definedName name="SP_CR_Sectors">#REF!</definedName>
    <definedName name="SP_CR_T">#REF!</definedName>
    <definedName name="SP_DSO_Sectors">#REF!</definedName>
    <definedName name="SP_DSO_T">#REF!</definedName>
    <definedName name="SP_FCF_Sectors">#REF!</definedName>
    <definedName name="SP_FCF_T">#REF!</definedName>
    <definedName name="SP_GM_Sectors">#REF!</definedName>
    <definedName name="SP_GM_T">#REF!</definedName>
    <definedName name="SP_IC_Sectors">#REF!</definedName>
    <definedName name="SP_IC_T">#REF!</definedName>
    <definedName name="SP_ND_Sectors">#REF!</definedName>
    <definedName name="SP_ND_T">#REF!</definedName>
    <definedName name="SP_OL_Sectors">#REF!</definedName>
    <definedName name="SP_OL_T">#REF!</definedName>
    <definedName name="SP_RG_Sectors">#REF!</definedName>
    <definedName name="SP_RG_T">#REF!</definedName>
    <definedName name="SP_ROIC_Sectors">#REF!</definedName>
    <definedName name="SP_ROIC_T">#REF!</definedName>
    <definedName name="SP_W_P1">#REF!</definedName>
    <definedName name="SP_W_P2">#REF!</definedName>
    <definedName name="SP_W_P3">#REF!</definedName>
    <definedName name="SP_W_P4">#REF!</definedName>
    <definedName name="SP_W_P5">#REF!</definedName>
    <definedName name="SP_Weights_Sector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J100" i="19" l="1"/>
  <c r="BK100" i="19" s="1"/>
  <c r="BI100" i="19"/>
  <c r="BH100" i="19"/>
  <c r="BG100" i="19"/>
  <c r="BI99" i="19"/>
  <c r="BH99" i="19"/>
  <c r="BG99" i="19"/>
  <c r="BJ99" i="19" s="1"/>
  <c r="BK99" i="19" s="1"/>
  <c r="BI98" i="19"/>
  <c r="BH98" i="19"/>
  <c r="BG98" i="19"/>
  <c r="BJ98" i="19" s="1"/>
  <c r="BK98" i="19" s="1"/>
  <c r="BI97" i="19"/>
  <c r="BH97" i="19"/>
  <c r="BJ97" i="19" s="1"/>
  <c r="BK97" i="19" s="1"/>
  <c r="BG97" i="19"/>
  <c r="BI96" i="19"/>
  <c r="BJ96" i="19" s="1"/>
  <c r="BK96" i="19" s="1"/>
  <c r="BH96" i="19"/>
  <c r="BG96" i="19"/>
  <c r="BJ95" i="19"/>
  <c r="BK95" i="19" s="1"/>
  <c r="BI95" i="19"/>
  <c r="BH95" i="19"/>
  <c r="BG95" i="19"/>
  <c r="BI94" i="19"/>
  <c r="BH94" i="19"/>
  <c r="BG94" i="19"/>
  <c r="BJ94" i="19" s="1"/>
  <c r="BK94" i="19" s="1"/>
  <c r="BI93" i="19"/>
  <c r="BH93" i="19"/>
  <c r="BG93" i="19"/>
  <c r="BJ93" i="19" s="1"/>
  <c r="BK93" i="19" s="1"/>
  <c r="BI92" i="19"/>
  <c r="BH92" i="19"/>
  <c r="BG92" i="19"/>
  <c r="BJ92" i="19" s="1"/>
  <c r="BK92" i="19" s="1"/>
  <c r="BI91" i="19"/>
  <c r="BH91" i="19"/>
  <c r="BG91" i="19"/>
  <c r="BJ91" i="19" s="1"/>
  <c r="BK91" i="19" s="1"/>
  <c r="BI90" i="19"/>
  <c r="BJ90" i="19" s="1"/>
  <c r="BK90" i="19" s="1"/>
  <c r="BH90" i="19"/>
  <c r="BG90" i="19"/>
  <c r="BJ89" i="19"/>
  <c r="BK89" i="19" s="1"/>
  <c r="BI89" i="19"/>
  <c r="BH89" i="19"/>
  <c r="BG89" i="19"/>
  <c r="BI88" i="19"/>
  <c r="BH88" i="19"/>
  <c r="BG88" i="19"/>
  <c r="BJ88" i="19" s="1"/>
  <c r="BK88" i="19" s="1"/>
  <c r="BI87" i="19"/>
  <c r="BH87" i="19"/>
  <c r="BG87" i="19"/>
  <c r="BJ87" i="19" s="1"/>
  <c r="BK87" i="19" s="1"/>
  <c r="BI86" i="19"/>
  <c r="BH86" i="19"/>
  <c r="BG86" i="19"/>
  <c r="BJ86" i="19" s="1"/>
  <c r="BK86" i="19" s="1"/>
  <c r="BI85" i="19"/>
  <c r="BH85" i="19"/>
  <c r="BJ85" i="19" s="1"/>
  <c r="BK85" i="19" s="1"/>
  <c r="BG85" i="19"/>
  <c r="BI84" i="19"/>
  <c r="BJ84" i="19" s="1"/>
  <c r="BK84" i="19" s="1"/>
  <c r="BH84" i="19"/>
  <c r="BG84" i="19"/>
  <c r="BB101" i="19"/>
  <c r="BB102" i="19"/>
  <c r="BB103" i="19"/>
  <c r="BB104" i="19"/>
  <c r="BB105" i="19"/>
  <c r="BB106" i="19"/>
  <c r="BB107" i="19"/>
  <c r="BB108" i="19"/>
  <c r="BB109" i="19"/>
  <c r="BB110" i="19"/>
  <c r="AY84" i="19" a="1"/>
  <c r="AY84" i="19" s="1"/>
  <c r="BB84" i="19" s="1"/>
  <c r="AY85" i="19" a="1"/>
  <c r="AY85" i="19" s="1"/>
  <c r="BB85" i="19" s="1"/>
  <c r="AY86" i="19" a="1"/>
  <c r="AY86" i="19" s="1"/>
  <c r="BB86" i="19" s="1"/>
  <c r="AY87" i="19" a="1"/>
  <c r="AY87" i="19" s="1"/>
  <c r="BB87" i="19" s="1"/>
  <c r="AY88" i="19" a="1"/>
  <c r="AY88" i="19" s="1"/>
  <c r="BB88" i="19" s="1"/>
  <c r="AY89" i="19" a="1"/>
  <c r="AY89" i="19" s="1"/>
  <c r="BB89" i="19" s="1"/>
  <c r="AY90" i="19" a="1"/>
  <c r="AY90" i="19" s="1"/>
  <c r="BB90" i="19" s="1"/>
  <c r="AY91" i="19" a="1"/>
  <c r="AY91" i="19" s="1"/>
  <c r="BB91" i="19" s="1"/>
  <c r="AY92" i="19" a="1"/>
  <c r="AY92" i="19" s="1"/>
  <c r="BB92" i="19" s="1"/>
  <c r="AY93" i="19" a="1"/>
  <c r="AY93" i="19" s="1"/>
  <c r="BB93" i="19" s="1"/>
  <c r="AY94" i="19" a="1"/>
  <c r="AY94" i="19" s="1"/>
  <c r="BB94" i="19" s="1"/>
  <c r="AY95" i="19" a="1"/>
  <c r="AY95" i="19" s="1"/>
  <c r="BB95" i="19" s="1"/>
  <c r="AY96" i="19" a="1"/>
  <c r="AY96" i="19" s="1"/>
  <c r="BB96" i="19" s="1"/>
  <c r="AY97" i="19" a="1"/>
  <c r="AY97" i="19" s="1"/>
  <c r="BB97" i="19" s="1"/>
  <c r="AY98" i="19" a="1"/>
  <c r="AY98" i="19" s="1"/>
  <c r="BB98" i="19" s="1"/>
  <c r="AY99" i="19" a="1"/>
  <c r="AY99" i="19" s="1"/>
  <c r="BB99" i="19" s="1"/>
  <c r="AY100" i="19" a="1"/>
  <c r="AY100" i="19" s="1"/>
  <c r="BB100" i="19" s="1"/>
  <c r="AL100" i="19"/>
  <c r="AK100" i="19"/>
  <c r="AJ100" i="19"/>
  <c r="AR100" i="19" s="1"/>
  <c r="AI100" i="19"/>
  <c r="AH100" i="19"/>
  <c r="AG100" i="19"/>
  <c r="AQ100" i="19" s="1"/>
  <c r="AF100" i="19"/>
  <c r="AE100" i="19"/>
  <c r="AD100" i="19"/>
  <c r="AP100" i="19" s="1"/>
  <c r="AC100" i="19"/>
  <c r="AB100" i="19"/>
  <c r="AA100" i="19"/>
  <c r="AO100" i="19" s="1"/>
  <c r="Z100" i="19"/>
  <c r="Y100" i="19"/>
  <c r="X100" i="19"/>
  <c r="AN100" i="19" s="1"/>
  <c r="W100" i="19"/>
  <c r="V100" i="19"/>
  <c r="U100" i="19"/>
  <c r="AM100" i="19" s="1"/>
  <c r="AL99" i="19"/>
  <c r="AK99" i="19"/>
  <c r="AJ99" i="19"/>
  <c r="AR99" i="19" s="1"/>
  <c r="AI99" i="19"/>
  <c r="AH99" i="19"/>
  <c r="AG99" i="19"/>
  <c r="AQ99" i="19" s="1"/>
  <c r="AF99" i="19"/>
  <c r="AE99" i="19"/>
  <c r="AD99" i="19"/>
  <c r="AP99" i="19" s="1"/>
  <c r="AC99" i="19"/>
  <c r="AB99" i="19"/>
  <c r="AA99" i="19"/>
  <c r="AO99" i="19" s="1"/>
  <c r="Z99" i="19"/>
  <c r="Y99" i="19"/>
  <c r="X99" i="19"/>
  <c r="AN99" i="19" s="1"/>
  <c r="W99" i="19"/>
  <c r="V99" i="19"/>
  <c r="U99" i="19"/>
  <c r="AM99" i="19" s="1"/>
  <c r="AL98" i="19"/>
  <c r="AK98" i="19"/>
  <c r="AJ98" i="19"/>
  <c r="AR98" i="19" s="1"/>
  <c r="AI98" i="19"/>
  <c r="AH98" i="19"/>
  <c r="AG98" i="19"/>
  <c r="AQ98" i="19" s="1"/>
  <c r="AF98" i="19"/>
  <c r="AE98" i="19"/>
  <c r="AD98" i="19"/>
  <c r="AP98" i="19" s="1"/>
  <c r="AC98" i="19"/>
  <c r="AB98" i="19"/>
  <c r="AA98" i="19"/>
  <c r="AO98" i="19" s="1"/>
  <c r="Z98" i="19"/>
  <c r="Y98" i="19"/>
  <c r="X98" i="19"/>
  <c r="AN98" i="19" s="1"/>
  <c r="W98" i="19"/>
  <c r="AM98" i="19" s="1"/>
  <c r="AS98" i="19" s="1"/>
  <c r="V98" i="19"/>
  <c r="U98" i="19"/>
  <c r="AL97" i="19"/>
  <c r="AK97" i="19"/>
  <c r="AJ97" i="19"/>
  <c r="AR97" i="19" s="1"/>
  <c r="AI97" i="19"/>
  <c r="AQ97" i="19" s="1"/>
  <c r="AH97" i="19"/>
  <c r="AG97" i="19"/>
  <c r="AF97" i="19"/>
  <c r="AE97" i="19"/>
  <c r="AD97" i="19"/>
  <c r="AP97" i="19" s="1"/>
  <c r="AC97" i="19"/>
  <c r="AB97" i="19"/>
  <c r="AA97" i="19"/>
  <c r="AO97" i="19" s="1"/>
  <c r="Z97" i="19"/>
  <c r="Y97" i="19"/>
  <c r="X97" i="19"/>
  <c r="AN97" i="19" s="1"/>
  <c r="W97" i="19"/>
  <c r="V97" i="19"/>
  <c r="U97" i="19"/>
  <c r="AM97" i="19" s="1"/>
  <c r="AL96" i="19"/>
  <c r="AK96" i="19"/>
  <c r="AJ96" i="19"/>
  <c r="AR96" i="19" s="1"/>
  <c r="AI96" i="19"/>
  <c r="AH96" i="19"/>
  <c r="AQ96" i="19" s="1"/>
  <c r="AG96" i="19"/>
  <c r="AF96" i="19"/>
  <c r="AE96" i="19"/>
  <c r="AD96" i="19"/>
  <c r="AP96" i="19" s="1"/>
  <c r="AC96" i="19"/>
  <c r="AO96" i="19" s="1"/>
  <c r="AB96" i="19"/>
  <c r="AA96" i="19"/>
  <c r="Z96" i="19"/>
  <c r="Y96" i="19"/>
  <c r="X96" i="19"/>
  <c r="AN96" i="19" s="1"/>
  <c r="W96" i="19"/>
  <c r="V96" i="19"/>
  <c r="AM96" i="19" s="1"/>
  <c r="U96" i="19"/>
  <c r="AM95" i="19"/>
  <c r="AL95" i="19"/>
  <c r="AK95" i="19"/>
  <c r="AJ95" i="19"/>
  <c r="AR95" i="19" s="1"/>
  <c r="AI95" i="19"/>
  <c r="AQ95" i="19" s="1"/>
  <c r="AH95" i="19"/>
  <c r="AG95" i="19"/>
  <c r="AF95" i="19"/>
  <c r="AE95" i="19"/>
  <c r="AD95" i="19"/>
  <c r="AP95" i="19" s="1"/>
  <c r="AC95" i="19"/>
  <c r="AB95" i="19"/>
  <c r="AA95" i="19"/>
  <c r="AO95" i="19" s="1"/>
  <c r="Z95" i="19"/>
  <c r="AN95" i="19" s="1"/>
  <c r="Y95" i="19"/>
  <c r="X95" i="19"/>
  <c r="W95" i="19"/>
  <c r="V95" i="19"/>
  <c r="U95" i="19"/>
  <c r="AQ94" i="19"/>
  <c r="AN94" i="19"/>
  <c r="AM94" i="19"/>
  <c r="AS94" i="19" s="1"/>
  <c r="AL94" i="19"/>
  <c r="AK94" i="19"/>
  <c r="AJ94" i="19"/>
  <c r="AR94" i="19" s="1"/>
  <c r="AI94" i="19"/>
  <c r="AH94" i="19"/>
  <c r="AG94" i="19"/>
  <c r="AF94" i="19"/>
  <c r="AE94" i="19"/>
  <c r="AD94" i="19"/>
  <c r="AP94" i="19" s="1"/>
  <c r="AC94" i="19"/>
  <c r="AB94" i="19"/>
  <c r="AA94" i="19"/>
  <c r="AO94" i="19" s="1"/>
  <c r="Z94" i="19"/>
  <c r="Y94" i="19"/>
  <c r="X94" i="19"/>
  <c r="W94" i="19"/>
  <c r="V94" i="19"/>
  <c r="U94" i="19"/>
  <c r="AN93" i="19"/>
  <c r="AM93" i="19"/>
  <c r="AL93" i="19"/>
  <c r="AK93" i="19"/>
  <c r="AR93" i="19" s="1"/>
  <c r="AJ93" i="19"/>
  <c r="AI93" i="19"/>
  <c r="AH93" i="19"/>
  <c r="AG93" i="19"/>
  <c r="AQ93" i="19" s="1"/>
  <c r="AF93" i="19"/>
  <c r="AE93" i="19"/>
  <c r="AD93" i="19"/>
  <c r="AP93" i="19" s="1"/>
  <c r="AC93" i="19"/>
  <c r="AB93" i="19"/>
  <c r="AO93" i="19" s="1"/>
  <c r="AA93" i="19"/>
  <c r="Z93" i="19"/>
  <c r="Y93" i="19"/>
  <c r="X93" i="19"/>
  <c r="W93" i="19"/>
  <c r="V93" i="19"/>
  <c r="U93" i="19"/>
  <c r="AL92" i="19"/>
  <c r="AK92" i="19"/>
  <c r="AJ92" i="19"/>
  <c r="AR92" i="19" s="1"/>
  <c r="AI92" i="19"/>
  <c r="AH92" i="19"/>
  <c r="AG92" i="19"/>
  <c r="AQ92" i="19" s="1"/>
  <c r="AF92" i="19"/>
  <c r="AE92" i="19"/>
  <c r="AD92" i="19"/>
  <c r="AP92" i="19" s="1"/>
  <c r="AC92" i="19"/>
  <c r="AO92" i="19" s="1"/>
  <c r="AB92" i="19"/>
  <c r="AA92" i="19"/>
  <c r="Z92" i="19"/>
  <c r="AN92" i="19" s="1"/>
  <c r="Y92" i="19"/>
  <c r="X92" i="19"/>
  <c r="W92" i="19"/>
  <c r="V92" i="19"/>
  <c r="U92" i="19"/>
  <c r="AM92" i="19" s="1"/>
  <c r="AR91" i="19"/>
  <c r="AQ91" i="19"/>
  <c r="AN91" i="19"/>
  <c r="AM91" i="19"/>
  <c r="AS91" i="19" s="1"/>
  <c r="AL91" i="19"/>
  <c r="AK91" i="19"/>
  <c r="AJ91" i="19"/>
  <c r="AI91" i="19"/>
  <c r="AH91" i="19"/>
  <c r="AG91" i="19"/>
  <c r="AF91" i="19"/>
  <c r="AE91" i="19"/>
  <c r="AD91" i="19"/>
  <c r="AP91" i="19" s="1"/>
  <c r="AC91" i="19"/>
  <c r="AB91" i="19"/>
  <c r="AA91" i="19"/>
  <c r="AO91" i="19" s="1"/>
  <c r="Z91" i="19"/>
  <c r="Y91" i="19"/>
  <c r="X91" i="19"/>
  <c r="W91" i="19"/>
  <c r="V91" i="19"/>
  <c r="U91" i="19"/>
  <c r="AR90" i="19"/>
  <c r="AQ90" i="19"/>
  <c r="AN90" i="19"/>
  <c r="AL90" i="19"/>
  <c r="AK90" i="19"/>
  <c r="AJ90" i="19"/>
  <c r="AI90" i="19"/>
  <c r="AH90" i="19"/>
  <c r="AG90" i="19"/>
  <c r="AF90" i="19"/>
  <c r="AE90" i="19"/>
  <c r="AD90" i="19"/>
  <c r="AP90" i="19" s="1"/>
  <c r="AC90" i="19"/>
  <c r="AB90" i="19"/>
  <c r="AO90" i="19" s="1"/>
  <c r="AA90" i="19"/>
  <c r="Z90" i="19"/>
  <c r="Y90" i="19"/>
  <c r="X90" i="19"/>
  <c r="W90" i="19"/>
  <c r="V90" i="19"/>
  <c r="U90" i="19"/>
  <c r="AM90" i="19" s="1"/>
  <c r="AR89" i="19"/>
  <c r="AL89" i="19"/>
  <c r="AK89" i="19"/>
  <c r="AJ89" i="19"/>
  <c r="AI89" i="19"/>
  <c r="AH89" i="19"/>
  <c r="AG89" i="19"/>
  <c r="AQ89" i="19" s="1"/>
  <c r="AF89" i="19"/>
  <c r="AE89" i="19"/>
  <c r="AD89" i="19"/>
  <c r="AP89" i="19" s="1"/>
  <c r="AC89" i="19"/>
  <c r="AO89" i="19" s="1"/>
  <c r="AB89" i="19"/>
  <c r="AA89" i="19"/>
  <c r="Z89" i="19"/>
  <c r="Y89" i="19"/>
  <c r="X89" i="19"/>
  <c r="AN89" i="19" s="1"/>
  <c r="W89" i="19"/>
  <c r="V89" i="19"/>
  <c r="U89" i="19"/>
  <c r="AM89" i="19" s="1"/>
  <c r="AL88" i="19"/>
  <c r="AK88" i="19"/>
  <c r="AJ88" i="19"/>
  <c r="AR88" i="19" s="1"/>
  <c r="AI88" i="19"/>
  <c r="AH88" i="19"/>
  <c r="AG88" i="19"/>
  <c r="AQ88" i="19" s="1"/>
  <c r="AF88" i="19"/>
  <c r="AE88" i="19"/>
  <c r="AD88" i="19"/>
  <c r="AP88" i="19" s="1"/>
  <c r="AC88" i="19"/>
  <c r="AB88" i="19"/>
  <c r="AA88" i="19"/>
  <c r="AO88" i="19" s="1"/>
  <c r="Z88" i="19"/>
  <c r="Y88" i="19"/>
  <c r="X88" i="19"/>
  <c r="AN88" i="19" s="1"/>
  <c r="W88" i="19"/>
  <c r="V88" i="19"/>
  <c r="U88" i="19"/>
  <c r="AM88" i="19" s="1"/>
  <c r="AL87" i="19"/>
  <c r="AR87" i="19" s="1"/>
  <c r="AK87" i="19"/>
  <c r="AJ87" i="19"/>
  <c r="AI87" i="19"/>
  <c r="AH87" i="19"/>
  <c r="AQ87" i="19" s="1"/>
  <c r="AG87" i="19"/>
  <c r="AF87" i="19"/>
  <c r="AE87" i="19"/>
  <c r="AD87" i="19"/>
  <c r="AP87" i="19" s="1"/>
  <c r="AC87" i="19"/>
  <c r="AB87" i="19"/>
  <c r="AA87" i="19"/>
  <c r="AO87" i="19" s="1"/>
  <c r="Z87" i="19"/>
  <c r="Y87" i="19"/>
  <c r="X87" i="19"/>
  <c r="AN87" i="19" s="1"/>
  <c r="W87" i="19"/>
  <c r="V87" i="19"/>
  <c r="AM87" i="19" s="1"/>
  <c r="U87" i="19"/>
  <c r="AL86" i="19"/>
  <c r="AK86" i="19"/>
  <c r="AJ86" i="19"/>
  <c r="AR86" i="19" s="1"/>
  <c r="AI86" i="19"/>
  <c r="AH86" i="19"/>
  <c r="AG86" i="19"/>
  <c r="AQ86" i="19" s="1"/>
  <c r="AF86" i="19"/>
  <c r="AE86" i="19"/>
  <c r="AD86" i="19"/>
  <c r="AP86" i="19" s="1"/>
  <c r="AC86" i="19"/>
  <c r="AB86" i="19"/>
  <c r="AA86" i="19"/>
  <c r="AO86" i="19" s="1"/>
  <c r="Z86" i="19"/>
  <c r="Y86" i="19"/>
  <c r="X86" i="19"/>
  <c r="AN86" i="19" s="1"/>
  <c r="W86" i="19"/>
  <c r="AM86" i="19" s="1"/>
  <c r="V86" i="19"/>
  <c r="U86" i="19"/>
  <c r="AL85" i="19"/>
  <c r="AK85" i="19"/>
  <c r="AJ85" i="19"/>
  <c r="AR85" i="19" s="1"/>
  <c r="AI85" i="19"/>
  <c r="AH85" i="19"/>
  <c r="AG85" i="19"/>
  <c r="AQ85" i="19" s="1"/>
  <c r="AF85" i="19"/>
  <c r="AE85" i="19"/>
  <c r="AD85" i="19"/>
  <c r="AP85" i="19" s="1"/>
  <c r="AC85" i="19"/>
  <c r="AB85" i="19"/>
  <c r="AA85" i="19"/>
  <c r="AO85" i="19" s="1"/>
  <c r="Z85" i="19"/>
  <c r="Y85" i="19"/>
  <c r="X85" i="19"/>
  <c r="AN85" i="19" s="1"/>
  <c r="W85" i="19"/>
  <c r="V85" i="19"/>
  <c r="U85" i="19"/>
  <c r="AM85" i="19" s="1"/>
  <c r="AL84" i="19"/>
  <c r="AK84" i="19"/>
  <c r="AJ84" i="19"/>
  <c r="AR84" i="19" s="1"/>
  <c r="AI84" i="19"/>
  <c r="AH84" i="19"/>
  <c r="AG84" i="19"/>
  <c r="AQ84" i="19" s="1"/>
  <c r="AF84" i="19"/>
  <c r="AE84" i="19"/>
  <c r="AD84" i="19"/>
  <c r="AP84" i="19" s="1"/>
  <c r="AC84" i="19"/>
  <c r="AO84" i="19" s="1"/>
  <c r="AB84" i="19"/>
  <c r="AA84" i="19"/>
  <c r="Z84" i="19"/>
  <c r="Y84" i="19"/>
  <c r="X84" i="19"/>
  <c r="AN84" i="19" s="1"/>
  <c r="W84" i="19"/>
  <c r="V84" i="19"/>
  <c r="AM84" i="19" s="1"/>
  <c r="U84" i="19"/>
  <c r="BG70" i="19"/>
  <c r="BH70" i="19"/>
  <c r="BI70" i="19"/>
  <c r="BG71" i="19"/>
  <c r="BH71" i="19"/>
  <c r="BI71" i="19"/>
  <c r="BG72" i="19"/>
  <c r="BH72" i="19"/>
  <c r="BI72" i="19"/>
  <c r="BG73" i="19"/>
  <c r="BH73" i="19"/>
  <c r="BI73" i="19"/>
  <c r="BG74" i="19"/>
  <c r="BH74" i="19"/>
  <c r="BI74" i="19"/>
  <c r="BG75" i="19"/>
  <c r="BH75" i="19"/>
  <c r="BI75" i="19"/>
  <c r="BG76" i="19"/>
  <c r="BH76" i="19"/>
  <c r="BI76" i="19"/>
  <c r="BJ76" i="19" s="1"/>
  <c r="BK76" i="19" s="1"/>
  <c r="BL76" i="19" s="1"/>
  <c r="BG77" i="19"/>
  <c r="BH77" i="19"/>
  <c r="BI77" i="19"/>
  <c r="BG78" i="19"/>
  <c r="BH78" i="19"/>
  <c r="BI78" i="19"/>
  <c r="BG79" i="19"/>
  <c r="BH79" i="19"/>
  <c r="BI79" i="19"/>
  <c r="BJ79" i="19"/>
  <c r="BK79" i="19" s="1"/>
  <c r="BL79" i="19" s="1"/>
  <c r="BG80" i="19"/>
  <c r="BH80" i="19"/>
  <c r="BI80" i="19"/>
  <c r="BJ80" i="19" s="1"/>
  <c r="BK80" i="19" s="1"/>
  <c r="BL80" i="19" s="1"/>
  <c r="BG81" i="19"/>
  <c r="BH81" i="19"/>
  <c r="BI81" i="19"/>
  <c r="BG82" i="19"/>
  <c r="BH82" i="19"/>
  <c r="BI82" i="19"/>
  <c r="BG83" i="19"/>
  <c r="BH83" i="19"/>
  <c r="BI83" i="19"/>
  <c r="BJ83" i="19"/>
  <c r="BK83" i="19" s="1"/>
  <c r="BL83" i="19" s="1"/>
  <c r="AY83" i="19" a="1"/>
  <c r="AY83" i="19" s="1"/>
  <c r="BB83" i="19" s="1"/>
  <c r="AL83" i="19"/>
  <c r="AK83" i="19"/>
  <c r="AJ83" i="19"/>
  <c r="AR83" i="19" s="1"/>
  <c r="AI83" i="19"/>
  <c r="AH83" i="19"/>
  <c r="AG83" i="19"/>
  <c r="AQ83" i="19" s="1"/>
  <c r="AF83" i="19"/>
  <c r="AE83" i="19"/>
  <c r="AD83" i="19"/>
  <c r="AP83" i="19" s="1"/>
  <c r="AC83" i="19"/>
  <c r="AB83" i="19"/>
  <c r="AA83" i="19"/>
  <c r="AO83" i="19" s="1"/>
  <c r="Z83" i="19"/>
  <c r="Y83" i="19"/>
  <c r="X83" i="19"/>
  <c r="AN83" i="19" s="1"/>
  <c r="W83" i="19"/>
  <c r="V83" i="19"/>
  <c r="U83" i="19"/>
  <c r="AM83" i="19" s="1"/>
  <c r="AY82" i="19" a="1"/>
  <c r="AY82" i="19" s="1"/>
  <c r="BB82" i="19" s="1"/>
  <c r="AR82" i="19"/>
  <c r="AN82" i="19"/>
  <c r="AL82" i="19"/>
  <c r="AK82" i="19"/>
  <c r="AJ82" i="19"/>
  <c r="AI82" i="19"/>
  <c r="AH82" i="19"/>
  <c r="AG82" i="19"/>
  <c r="AQ82" i="19" s="1"/>
  <c r="AF82" i="19"/>
  <c r="AE82" i="19"/>
  <c r="AD82" i="19"/>
  <c r="AP82" i="19" s="1"/>
  <c r="AC82" i="19"/>
  <c r="AB82" i="19"/>
  <c r="AA82" i="19"/>
  <c r="AO82" i="19" s="1"/>
  <c r="Z82" i="19"/>
  <c r="Y82" i="19"/>
  <c r="X82" i="19"/>
  <c r="W82" i="19"/>
  <c r="V82" i="19"/>
  <c r="U82" i="19"/>
  <c r="AM82" i="19" s="1"/>
  <c r="AS82" i="19" s="1"/>
  <c r="AY81" i="19" a="1"/>
  <c r="AY81" i="19" s="1"/>
  <c r="BB81" i="19" s="1"/>
  <c r="AR81" i="19"/>
  <c r="AL81" i="19"/>
  <c r="AK81" i="19"/>
  <c r="AJ81" i="19"/>
  <c r="AI81" i="19"/>
  <c r="AH81" i="19"/>
  <c r="AG81" i="19"/>
  <c r="AQ81" i="19" s="1"/>
  <c r="AF81" i="19"/>
  <c r="AE81" i="19"/>
  <c r="AD81" i="19"/>
  <c r="AP81" i="19" s="1"/>
  <c r="AC81" i="19"/>
  <c r="AO81" i="19" s="1"/>
  <c r="AB81" i="19"/>
  <c r="AA81" i="19"/>
  <c r="Z81" i="19"/>
  <c r="Y81" i="19"/>
  <c r="X81" i="19"/>
  <c r="AN81" i="19" s="1"/>
  <c r="W81" i="19"/>
  <c r="V81" i="19"/>
  <c r="U81" i="19"/>
  <c r="AM81" i="19" s="1"/>
  <c r="AY80" i="19" a="1"/>
  <c r="AY80" i="19" s="1"/>
  <c r="BB80" i="19" s="1"/>
  <c r="AR80" i="19"/>
  <c r="AQ80" i="19"/>
  <c r="AN80" i="19"/>
  <c r="AL80" i="19"/>
  <c r="AK80" i="19"/>
  <c r="AJ80" i="19"/>
  <c r="AI80" i="19"/>
  <c r="AH80" i="19"/>
  <c r="AG80" i="19"/>
  <c r="AF80" i="19"/>
  <c r="AE80" i="19"/>
  <c r="AD80" i="19"/>
  <c r="AP80" i="19" s="1"/>
  <c r="AC80" i="19"/>
  <c r="AB80" i="19"/>
  <c r="AO80" i="19" s="1"/>
  <c r="AA80" i="19"/>
  <c r="Z80" i="19"/>
  <c r="Y80" i="19"/>
  <c r="X80" i="19"/>
  <c r="W80" i="19"/>
  <c r="V80" i="19"/>
  <c r="U80" i="19"/>
  <c r="AM80" i="19" s="1"/>
  <c r="AY79" i="19" a="1"/>
  <c r="AY79" i="19" s="1"/>
  <c r="BB79" i="19" s="1"/>
  <c r="AR79" i="19"/>
  <c r="AQ79" i="19"/>
  <c r="AL79" i="19"/>
  <c r="AK79" i="19"/>
  <c r="AJ79" i="19"/>
  <c r="AI79" i="19"/>
  <c r="AH79" i="19"/>
  <c r="AG79" i="19"/>
  <c r="AF79" i="19"/>
  <c r="AE79" i="19"/>
  <c r="AD79" i="19"/>
  <c r="AP79" i="19" s="1"/>
  <c r="AC79" i="19"/>
  <c r="AO79" i="19" s="1"/>
  <c r="AB79" i="19"/>
  <c r="AA79" i="19"/>
  <c r="Z79" i="19"/>
  <c r="Y79" i="19"/>
  <c r="X79" i="19"/>
  <c r="AN79" i="19" s="1"/>
  <c r="W79" i="19"/>
  <c r="V79" i="19"/>
  <c r="U79" i="19"/>
  <c r="AM79" i="19" s="1"/>
  <c r="AY78" i="19" a="1"/>
  <c r="AY78" i="19" s="1"/>
  <c r="BB78" i="19" s="1"/>
  <c r="AR78" i="19"/>
  <c r="AQ78" i="19"/>
  <c r="AN78" i="19"/>
  <c r="AL78" i="19"/>
  <c r="AK78" i="19"/>
  <c r="AJ78" i="19"/>
  <c r="AI78" i="19"/>
  <c r="AH78" i="19"/>
  <c r="AG78" i="19"/>
  <c r="AF78" i="19"/>
  <c r="AE78" i="19"/>
  <c r="AD78" i="19"/>
  <c r="AP78" i="19" s="1"/>
  <c r="AC78" i="19"/>
  <c r="AO78" i="19" s="1"/>
  <c r="AB78" i="19"/>
  <c r="AA78" i="19"/>
  <c r="Z78" i="19"/>
  <c r="Y78" i="19"/>
  <c r="X78" i="19"/>
  <c r="W78" i="19"/>
  <c r="V78" i="19"/>
  <c r="U78" i="19"/>
  <c r="AM78" i="19" s="1"/>
  <c r="AY77" i="19" a="1"/>
  <c r="AY77" i="19" s="1"/>
  <c r="BB77" i="19" s="1"/>
  <c r="AR77" i="19"/>
  <c r="AQ77" i="19"/>
  <c r="AN77" i="19"/>
  <c r="AL77" i="19"/>
  <c r="AK77" i="19"/>
  <c r="AJ77" i="19"/>
  <c r="AI77" i="19"/>
  <c r="AH77" i="19"/>
  <c r="AG77" i="19"/>
  <c r="AF77" i="19"/>
  <c r="AE77" i="19"/>
  <c r="AD77" i="19"/>
  <c r="AP77" i="19" s="1"/>
  <c r="AC77" i="19"/>
  <c r="AB77" i="19"/>
  <c r="AO77" i="19" s="1"/>
  <c r="AA77" i="19"/>
  <c r="Z77" i="19"/>
  <c r="Y77" i="19"/>
  <c r="X77" i="19"/>
  <c r="W77" i="19"/>
  <c r="V77" i="19"/>
  <c r="U77" i="19"/>
  <c r="AM77" i="19" s="1"/>
  <c r="AS77" i="19" s="1"/>
  <c r="AY76" i="19" a="1"/>
  <c r="AY76" i="19" s="1"/>
  <c r="BB76" i="19" s="1"/>
  <c r="AR76" i="19"/>
  <c r="AN76" i="19"/>
  <c r="AM76" i="19"/>
  <c r="AL76" i="19"/>
  <c r="AK76" i="19"/>
  <c r="AJ76" i="19"/>
  <c r="AI76" i="19"/>
  <c r="AH76" i="19"/>
  <c r="AG76" i="19"/>
  <c r="AQ76" i="19" s="1"/>
  <c r="AF76" i="19"/>
  <c r="AE76" i="19"/>
  <c r="AD76" i="19"/>
  <c r="AP76" i="19" s="1"/>
  <c r="AC76" i="19"/>
  <c r="AB76" i="19"/>
  <c r="AA76" i="19"/>
  <c r="AO76" i="19" s="1"/>
  <c r="Z76" i="19"/>
  <c r="Y76" i="19"/>
  <c r="X76" i="19"/>
  <c r="W76" i="19"/>
  <c r="V76" i="19"/>
  <c r="U76" i="19"/>
  <c r="AY75" i="19" a="1"/>
  <c r="AY75" i="19" s="1"/>
  <c r="BB75" i="19" s="1"/>
  <c r="AQ75" i="19"/>
  <c r="AM75" i="19"/>
  <c r="AL75" i="19"/>
  <c r="AR75" i="19" s="1"/>
  <c r="AK75" i="19"/>
  <c r="AJ75" i="19"/>
  <c r="AI75" i="19"/>
  <c r="AH75" i="19"/>
  <c r="AG75" i="19"/>
  <c r="AF75" i="19"/>
  <c r="AE75" i="19"/>
  <c r="AD75" i="19"/>
  <c r="AP75" i="19" s="1"/>
  <c r="AC75" i="19"/>
  <c r="AB75" i="19"/>
  <c r="AA75" i="19"/>
  <c r="AO75" i="19" s="1"/>
  <c r="Z75" i="19"/>
  <c r="AN75" i="19" s="1"/>
  <c r="Y75" i="19"/>
  <c r="X75" i="19"/>
  <c r="W75" i="19"/>
  <c r="V75" i="19"/>
  <c r="U75" i="19"/>
  <c r="AY74" i="19" a="1"/>
  <c r="AY74" i="19" s="1"/>
  <c r="BB74" i="19" s="1"/>
  <c r="AL74" i="19"/>
  <c r="AK74" i="19"/>
  <c r="AR74" i="19" s="1"/>
  <c r="AJ74" i="19"/>
  <c r="AI74" i="19"/>
  <c r="AH74" i="19"/>
  <c r="AG74" i="19"/>
  <c r="AQ74" i="19" s="1"/>
  <c r="AF74" i="19"/>
  <c r="AE74" i="19"/>
  <c r="AD74" i="19"/>
  <c r="AP74" i="19" s="1"/>
  <c r="AC74" i="19"/>
  <c r="AB74" i="19"/>
  <c r="AA74" i="19"/>
  <c r="AO74" i="19" s="1"/>
  <c r="Z74" i="19"/>
  <c r="Y74" i="19"/>
  <c r="AN74" i="19" s="1"/>
  <c r="X74" i="19"/>
  <c r="W74" i="19"/>
  <c r="V74" i="19"/>
  <c r="U74" i="19"/>
  <c r="AM74" i="19" s="1"/>
  <c r="AY73" i="19" a="1"/>
  <c r="AY73" i="19" s="1"/>
  <c r="BB73" i="19" s="1"/>
  <c r="AL73" i="19"/>
  <c r="AK73" i="19"/>
  <c r="AJ73" i="19"/>
  <c r="AR73" i="19" s="1"/>
  <c r="AI73" i="19"/>
  <c r="AH73" i="19"/>
  <c r="AG73" i="19"/>
  <c r="AQ73" i="19" s="1"/>
  <c r="AF73" i="19"/>
  <c r="AE73" i="19"/>
  <c r="AD73" i="19"/>
  <c r="AP73" i="19" s="1"/>
  <c r="AC73" i="19"/>
  <c r="AB73" i="19"/>
  <c r="AA73" i="19"/>
  <c r="AO73" i="19" s="1"/>
  <c r="Z73" i="19"/>
  <c r="Y73" i="19"/>
  <c r="X73" i="19"/>
  <c r="AN73" i="19" s="1"/>
  <c r="W73" i="19"/>
  <c r="V73" i="19"/>
  <c r="U73" i="19"/>
  <c r="AM73" i="19" s="1"/>
  <c r="AY72" i="19" a="1"/>
  <c r="AY72" i="19" s="1"/>
  <c r="BB72" i="19" s="1"/>
  <c r="AL72" i="19"/>
  <c r="AK72" i="19"/>
  <c r="AJ72" i="19"/>
  <c r="AR72" i="19" s="1"/>
  <c r="AI72" i="19"/>
  <c r="AQ72" i="19" s="1"/>
  <c r="AH72" i="19"/>
  <c r="AG72" i="19"/>
  <c r="AF72" i="19"/>
  <c r="AE72" i="19"/>
  <c r="AD72" i="19"/>
  <c r="AP72" i="19" s="1"/>
  <c r="AC72" i="19"/>
  <c r="AB72" i="19"/>
  <c r="AA72" i="19"/>
  <c r="AO72" i="19" s="1"/>
  <c r="Z72" i="19"/>
  <c r="Y72" i="19"/>
  <c r="X72" i="19"/>
  <c r="AN72" i="19" s="1"/>
  <c r="W72" i="19"/>
  <c r="V72" i="19"/>
  <c r="U72" i="19"/>
  <c r="AM72" i="19" s="1"/>
  <c r="AY71" i="19" a="1"/>
  <c r="AY71" i="19" s="1"/>
  <c r="BB71" i="19" s="1"/>
  <c r="AL71" i="19"/>
  <c r="AK71" i="19"/>
  <c r="AR71" i="19" s="1"/>
  <c r="AJ71" i="19"/>
  <c r="AI71" i="19"/>
  <c r="AH71" i="19"/>
  <c r="AQ71" i="19" s="1"/>
  <c r="AG71" i="19"/>
  <c r="AF71" i="19"/>
  <c r="AE71" i="19"/>
  <c r="AD71" i="19"/>
  <c r="AP71" i="19" s="1"/>
  <c r="AC71" i="19"/>
  <c r="AB71" i="19"/>
  <c r="AA71" i="19"/>
  <c r="AO71" i="19" s="1"/>
  <c r="Z71" i="19"/>
  <c r="Y71" i="19"/>
  <c r="X71" i="19"/>
  <c r="AN71" i="19" s="1"/>
  <c r="W71" i="19"/>
  <c r="V71" i="19"/>
  <c r="U71" i="19"/>
  <c r="AM71" i="19" s="1"/>
  <c r="AY70" i="19" a="1"/>
  <c r="AY70" i="19" s="1"/>
  <c r="BB70" i="19" s="1"/>
  <c r="AL70" i="19"/>
  <c r="AK70" i="19"/>
  <c r="AJ70" i="19"/>
  <c r="AR70" i="19" s="1"/>
  <c r="AI70" i="19"/>
  <c r="AH70" i="19"/>
  <c r="AG70" i="19"/>
  <c r="AQ70" i="19" s="1"/>
  <c r="AF70" i="19"/>
  <c r="AE70" i="19"/>
  <c r="AD70" i="19"/>
  <c r="AP70" i="19" s="1"/>
  <c r="AC70" i="19"/>
  <c r="AO70" i="19" s="1"/>
  <c r="AB70" i="19"/>
  <c r="AA70" i="19"/>
  <c r="Z70" i="19"/>
  <c r="Y70" i="19"/>
  <c r="X70" i="19"/>
  <c r="AN70" i="19" s="1"/>
  <c r="W70" i="19"/>
  <c r="V70" i="19"/>
  <c r="U70" i="19"/>
  <c r="AM70" i="19" s="1"/>
  <c r="AS70" i="19" s="1"/>
  <c r="AY69" i="19" a="1"/>
  <c r="AY69" i="19" s="1"/>
  <c r="BB69" i="19" s="1"/>
  <c r="AY68" i="19" a="1"/>
  <c r="AY68" i="19" s="1"/>
  <c r="BB68" i="19" s="1"/>
  <c r="AY67" i="19" a="1"/>
  <c r="AY67" i="19" s="1"/>
  <c r="BB67" i="19" s="1"/>
  <c r="AY66" i="19" a="1"/>
  <c r="AY66" i="19" s="1"/>
  <c r="AY65" i="19" a="1"/>
  <c r="AY65" i="19" s="1"/>
  <c r="AY64" i="19" a="1"/>
  <c r="AY64" i="19" s="1"/>
  <c r="AY63" i="19" a="1"/>
  <c r="AY63" i="19" s="1"/>
  <c r="AY62" i="19" a="1"/>
  <c r="AY62" i="19" s="1"/>
  <c r="AY61" i="19" a="1"/>
  <c r="AY61" i="19" s="1"/>
  <c r="AY60" i="19" a="1"/>
  <c r="AY60" i="19" s="1"/>
  <c r="AY59" i="19" a="1"/>
  <c r="AY59" i="19" s="1"/>
  <c r="AY58" i="19" a="1"/>
  <c r="AY58" i="19" s="1"/>
  <c r="AY57" i="19" a="1"/>
  <c r="AY57" i="19" s="1"/>
  <c r="AY56" i="19" a="1"/>
  <c r="AY56" i="19" s="1"/>
  <c r="AY55" i="19" a="1"/>
  <c r="AY55" i="19" s="1"/>
  <c r="AY54" i="19" a="1"/>
  <c r="AY54" i="19" s="1"/>
  <c r="AY53" i="19" a="1"/>
  <c r="AY53" i="19" s="1"/>
  <c r="AY52" i="19" a="1"/>
  <c r="AY52" i="19" s="1"/>
  <c r="AY51" i="19" a="1"/>
  <c r="AY51" i="19" s="1"/>
  <c r="AY50" i="19" a="1"/>
  <c r="AY50" i="19" s="1"/>
  <c r="AY49" i="19" a="1"/>
  <c r="AY49" i="19" s="1"/>
  <c r="AY48" i="19" a="1"/>
  <c r="AY48" i="19" s="1"/>
  <c r="AY47" i="19" a="1"/>
  <c r="AY47" i="19" s="1"/>
  <c r="AY46" i="19" a="1"/>
  <c r="AY46" i="19" s="1"/>
  <c r="AY45" i="19" a="1"/>
  <c r="AY45" i="19" s="1"/>
  <c r="AY44" i="19" a="1"/>
  <c r="AY44" i="19" s="1"/>
  <c r="AY43" i="19" a="1"/>
  <c r="AY43" i="19" s="1"/>
  <c r="AY42" i="19" a="1"/>
  <c r="AY42" i="19" s="1"/>
  <c r="AY41" i="19" a="1"/>
  <c r="AY41" i="19" s="1"/>
  <c r="AY40" i="19" a="1"/>
  <c r="AY40" i="19" s="1"/>
  <c r="AY39" i="19" a="1"/>
  <c r="AY39" i="19" s="1"/>
  <c r="AY38" i="19" a="1"/>
  <c r="AY38" i="19" s="1"/>
  <c r="AY37" i="19" a="1"/>
  <c r="AY37" i="19" s="1"/>
  <c r="AY36" i="19" a="1"/>
  <c r="AY36" i="19" s="1"/>
  <c r="AY35" i="19" a="1"/>
  <c r="AY35" i="19" s="1"/>
  <c r="AY34" i="19" a="1"/>
  <c r="AY34" i="19" s="1"/>
  <c r="AY33" i="19" a="1"/>
  <c r="AY33" i="19" s="1"/>
  <c r="AY32" i="19" a="1"/>
  <c r="AY32" i="19" s="1"/>
  <c r="AY31" i="19" a="1"/>
  <c r="AY31" i="19" s="1"/>
  <c r="AY30" i="19" a="1"/>
  <c r="AY30" i="19" s="1"/>
  <c r="AY29" i="19" a="1"/>
  <c r="AY29" i="19" s="1"/>
  <c r="AY28" i="19" a="1"/>
  <c r="AY28" i="19" s="1"/>
  <c r="AY27" i="19" a="1"/>
  <c r="AY27" i="19" s="1"/>
  <c r="AY26" i="19" a="1"/>
  <c r="AY26" i="19" s="1"/>
  <c r="AY25" i="19" a="1"/>
  <c r="AY25" i="19" s="1"/>
  <c r="AY24" i="19" a="1"/>
  <c r="AY24" i="19" s="1"/>
  <c r="AY23" i="19" a="1"/>
  <c r="AY23" i="19" s="1"/>
  <c r="AY22" i="19" a="1"/>
  <c r="AY22" i="19" s="1"/>
  <c r="AY21" i="19" a="1"/>
  <c r="AY21" i="19" s="1"/>
  <c r="AY20" i="19" a="1"/>
  <c r="AY20" i="19" s="1"/>
  <c r="AY19" i="19" a="1"/>
  <c r="AY19" i="19" s="1"/>
  <c r="AY18" i="19" a="1"/>
  <c r="AY18" i="19" s="1"/>
  <c r="AY17" i="19" a="1"/>
  <c r="AY17" i="19" s="1"/>
  <c r="AY16" i="19" a="1"/>
  <c r="AY16" i="19" s="1"/>
  <c r="AY15" i="19" a="1"/>
  <c r="AY15" i="19" s="1"/>
  <c r="AY14" i="19" a="1"/>
  <c r="AY14" i="19" s="1"/>
  <c r="AY13" i="19" a="1"/>
  <c r="AY13" i="19" s="1"/>
  <c r="AY12" i="19" a="1"/>
  <c r="AY12" i="19" s="1"/>
  <c r="AY11" i="19" a="1"/>
  <c r="AY11" i="19" s="1"/>
  <c r="AY10" i="19" a="1"/>
  <c r="AY10" i="19" s="1"/>
  <c r="AY9" i="19" a="1"/>
  <c r="AY9" i="19" s="1"/>
  <c r="AY8" i="19" a="1"/>
  <c r="AY8" i="19" s="1"/>
  <c r="AY7" i="19" a="1"/>
  <c r="AY7" i="19" s="1"/>
  <c r="AY6" i="19" a="1"/>
  <c r="AY6" i="19" s="1"/>
  <c r="AY5" i="19" a="1"/>
  <c r="AY5" i="19" s="1"/>
  <c r="AY4" i="19" a="1"/>
  <c r="AY4" i="19" s="1"/>
  <c r="B38" i="22"/>
  <c r="B37" i="22"/>
  <c r="B36" i="22"/>
  <c r="B35" i="22"/>
  <c r="B34" i="22"/>
  <c r="B33" i="22"/>
  <c r="B32" i="22"/>
  <c r="B31" i="22"/>
  <c r="B30" i="22"/>
  <c r="B29" i="22"/>
  <c r="B28" i="22"/>
  <c r="B27" i="22"/>
  <c r="B26" i="22"/>
  <c r="B25" i="22"/>
  <c r="B24" i="22"/>
  <c r="B23" i="22"/>
  <c r="B22" i="22"/>
  <c r="B21" i="22"/>
  <c r="B20" i="22"/>
  <c r="B19" i="22"/>
  <c r="B18" i="22"/>
  <c r="B17" i="22"/>
  <c r="B16" i="22"/>
  <c r="B15" i="22"/>
  <c r="B14" i="22"/>
  <c r="B13" i="22"/>
  <c r="B12" i="22"/>
  <c r="B11" i="22"/>
  <c r="B10" i="22"/>
  <c r="B9" i="22"/>
  <c r="B8" i="22"/>
  <c r="B7" i="22"/>
  <c r="B6" i="22"/>
  <c r="B5" i="22"/>
  <c r="B4" i="22"/>
  <c r="D43" i="23"/>
  <c r="D42" i="23"/>
  <c r="D41" i="23"/>
  <c r="D40" i="23"/>
  <c r="D39" i="23"/>
  <c r="D38" i="23"/>
  <c r="D37" i="23"/>
  <c r="D36" i="23"/>
  <c r="D35" i="23"/>
  <c r="D34" i="23"/>
  <c r="E33" i="23"/>
  <c r="D33" i="23"/>
  <c r="D32" i="23"/>
  <c r="D31" i="23"/>
  <c r="D30" i="23"/>
  <c r="D29" i="23"/>
  <c r="D28" i="23"/>
  <c r="D27" i="23"/>
  <c r="D26" i="23"/>
  <c r="D25" i="23"/>
  <c r="D24" i="23"/>
  <c r="D23" i="23"/>
  <c r="D22" i="23"/>
  <c r="D21" i="23"/>
  <c r="D20" i="23"/>
  <c r="D19" i="23"/>
  <c r="D18" i="23"/>
  <c r="D17" i="23"/>
  <c r="D16" i="23"/>
  <c r="D15" i="23"/>
  <c r="D14" i="23"/>
  <c r="D13" i="23"/>
  <c r="D12" i="23"/>
  <c r="D11" i="23"/>
  <c r="D10" i="23"/>
  <c r="D9" i="23"/>
  <c r="E64" i="20"/>
  <c r="K64" i="20"/>
  <c r="E63" i="20"/>
  <c r="K63" i="20"/>
  <c r="E62" i="20"/>
  <c r="K62" i="20"/>
  <c r="E61" i="20"/>
  <c r="K61" i="20"/>
  <c r="E60" i="20"/>
  <c r="K60" i="20"/>
  <c r="E59" i="20"/>
  <c r="K59" i="20"/>
  <c r="E58" i="20"/>
  <c r="K58" i="20"/>
  <c r="E57" i="20"/>
  <c r="K57" i="20"/>
  <c r="E56" i="20"/>
  <c r="K56" i="20"/>
  <c r="E55" i="20"/>
  <c r="K55" i="20"/>
  <c r="E54" i="20"/>
  <c r="K54" i="20"/>
  <c r="E53" i="20"/>
  <c r="K53" i="20"/>
  <c r="E52" i="20"/>
  <c r="K52" i="20"/>
  <c r="E51" i="20"/>
  <c r="K51" i="20"/>
  <c r="E50" i="20"/>
  <c r="K50" i="20"/>
  <c r="E49" i="20"/>
  <c r="K49" i="20"/>
  <c r="E48" i="20"/>
  <c r="K48" i="20"/>
  <c r="E47" i="20"/>
  <c r="K47" i="20"/>
  <c r="E46" i="20"/>
  <c r="K46" i="20"/>
  <c r="E45" i="20"/>
  <c r="K45" i="20"/>
  <c r="E44" i="20"/>
  <c r="K44" i="20"/>
  <c r="E43" i="20"/>
  <c r="K43" i="20"/>
  <c r="E42" i="20"/>
  <c r="K42" i="20"/>
  <c r="E41" i="20"/>
  <c r="K41" i="20"/>
  <c r="E40" i="20"/>
  <c r="K40" i="20"/>
  <c r="E39" i="20"/>
  <c r="K39" i="20"/>
  <c r="E38" i="20"/>
  <c r="K38" i="20"/>
  <c r="E37" i="20"/>
  <c r="K37" i="20"/>
  <c r="E36" i="20"/>
  <c r="K36" i="20"/>
  <c r="E35" i="20"/>
  <c r="K35" i="20"/>
  <c r="E34" i="20"/>
  <c r="K34" i="20"/>
  <c r="E33" i="20"/>
  <c r="K33" i="20"/>
  <c r="E32" i="20"/>
  <c r="K32" i="20"/>
  <c r="E31" i="20"/>
  <c r="K31" i="20"/>
  <c r="E30" i="20"/>
  <c r="K30" i="20"/>
  <c r="E29" i="20"/>
  <c r="K29" i="20"/>
  <c r="E28" i="20"/>
  <c r="F28" i="20"/>
  <c r="G28" i="20"/>
  <c r="H28" i="20"/>
  <c r="I28" i="20"/>
  <c r="J28" i="20"/>
  <c r="K28" i="20"/>
  <c r="E27" i="20"/>
  <c r="K27" i="20"/>
  <c r="E26" i="20"/>
  <c r="K26" i="20"/>
  <c r="E25" i="20"/>
  <c r="K25" i="20"/>
  <c r="E24" i="20"/>
  <c r="K24" i="20"/>
  <c r="E23" i="20"/>
  <c r="K23" i="20"/>
  <c r="E22" i="20"/>
  <c r="K22" i="20"/>
  <c r="E21" i="20"/>
  <c r="K21" i="20"/>
  <c r="E20" i="20"/>
  <c r="K20" i="20"/>
  <c r="E19" i="20"/>
  <c r="K19" i="20"/>
  <c r="E18" i="20"/>
  <c r="K18" i="20"/>
  <c r="E17" i="20"/>
  <c r="K17" i="20"/>
  <c r="E16" i="20"/>
  <c r="K16" i="20"/>
  <c r="E15" i="20"/>
  <c r="K15" i="20"/>
  <c r="E14" i="20"/>
  <c r="K14" i="20"/>
  <c r="E13" i="20"/>
  <c r="K13" i="20"/>
  <c r="E12" i="20"/>
  <c r="K12" i="20"/>
  <c r="E11" i="20"/>
  <c r="K11" i="20"/>
  <c r="E10" i="20"/>
  <c r="K10" i="20"/>
  <c r="E9" i="20"/>
  <c r="K9" i="20"/>
  <c r="E8" i="20"/>
  <c r="K8" i="20"/>
  <c r="E7" i="20"/>
  <c r="K7" i="20"/>
  <c r="E6" i="20"/>
  <c r="K6" i="20"/>
  <c r="E5" i="20"/>
  <c r="K5" i="20"/>
  <c r="E4" i="20"/>
  <c r="K4" i="20"/>
  <c r="AR69" i="19"/>
  <c r="AR68" i="19"/>
  <c r="AR67" i="19"/>
  <c r="AR66" i="19"/>
  <c r="AR65" i="19"/>
  <c r="AR64" i="19"/>
  <c r="AR63" i="19"/>
  <c r="AR62" i="19"/>
  <c r="AR61" i="19"/>
  <c r="AR60" i="19"/>
  <c r="AR59" i="19"/>
  <c r="AR58" i="19"/>
  <c r="AR57" i="19"/>
  <c r="AR56" i="19"/>
  <c r="AR55" i="19"/>
  <c r="AR54" i="19"/>
  <c r="AR53" i="19"/>
  <c r="AR52" i="19"/>
  <c r="AR51" i="19"/>
  <c r="AR50" i="19"/>
  <c r="AR49" i="19"/>
  <c r="AR48" i="19"/>
  <c r="AR47" i="19"/>
  <c r="AR46" i="19"/>
  <c r="AR45" i="19"/>
  <c r="AR44" i="19"/>
  <c r="AR43" i="19"/>
  <c r="AR42" i="19"/>
  <c r="AR41" i="19"/>
  <c r="AR40" i="19"/>
  <c r="AR39" i="19"/>
  <c r="AR38" i="19"/>
  <c r="AR37" i="19"/>
  <c r="AR36" i="19"/>
  <c r="AR35" i="19"/>
  <c r="AR34" i="19"/>
  <c r="AR33" i="19"/>
  <c r="AR32" i="19"/>
  <c r="AR31" i="19"/>
  <c r="AR30" i="19"/>
  <c r="AR29" i="19"/>
  <c r="AR28" i="19"/>
  <c r="AR27" i="19"/>
  <c r="AR26" i="19"/>
  <c r="AR25" i="19"/>
  <c r="AR24" i="19"/>
  <c r="AR23" i="19"/>
  <c r="AR22" i="19"/>
  <c r="AR21" i="19"/>
  <c r="AR20" i="19"/>
  <c r="AR19" i="19"/>
  <c r="AR18" i="19"/>
  <c r="AR17" i="19"/>
  <c r="AR16" i="19"/>
  <c r="AR15" i="19"/>
  <c r="AR14" i="19"/>
  <c r="AR13" i="19"/>
  <c r="AR12" i="19"/>
  <c r="AR11" i="19"/>
  <c r="AR10" i="19"/>
  <c r="AR9" i="19"/>
  <c r="AR8" i="19"/>
  <c r="AR7" i="19"/>
  <c r="AR6" i="19"/>
  <c r="AR5" i="19"/>
  <c r="AR4" i="19"/>
  <c r="BG67" i="19"/>
  <c r="BH67" i="19"/>
  <c r="BI67" i="19"/>
  <c r="BG68" i="19"/>
  <c r="BJ68" i="19" s="1"/>
  <c r="BK68" i="19" s="1"/>
  <c r="BH68" i="19"/>
  <c r="BI68" i="19"/>
  <c r="BG69" i="19"/>
  <c r="BH69" i="19"/>
  <c r="BI69" i="19"/>
  <c r="AL69" i="19"/>
  <c r="AK69" i="19"/>
  <c r="AJ69" i="19"/>
  <c r="AI69" i="19"/>
  <c r="AH69" i="19"/>
  <c r="AG69" i="19"/>
  <c r="AQ69" i="19" s="1"/>
  <c r="AF69" i="19"/>
  <c r="AE69" i="19"/>
  <c r="AD69" i="19"/>
  <c r="AP69" i="19" s="1"/>
  <c r="AC69" i="19"/>
  <c r="AB69" i="19"/>
  <c r="AA69" i="19"/>
  <c r="AO69" i="19" s="1"/>
  <c r="Z69" i="19"/>
  <c r="Y69" i="19"/>
  <c r="X69" i="19"/>
  <c r="AN69" i="19" s="1"/>
  <c r="W69" i="19"/>
  <c r="V69" i="19"/>
  <c r="U69" i="19"/>
  <c r="AM69" i="19" s="1"/>
  <c r="AS69" i="19" s="1"/>
  <c r="AL68" i="19"/>
  <c r="AK68" i="19"/>
  <c r="AJ68" i="19"/>
  <c r="AI68" i="19"/>
  <c r="AQ68" i="19" s="1"/>
  <c r="AH68" i="19"/>
  <c r="AG68" i="19"/>
  <c r="AF68" i="19"/>
  <c r="AE68" i="19"/>
  <c r="AD68" i="19"/>
  <c r="AP68" i="19" s="1"/>
  <c r="AC68" i="19"/>
  <c r="AB68" i="19"/>
  <c r="AA68" i="19"/>
  <c r="AO68" i="19" s="1"/>
  <c r="Z68" i="19"/>
  <c r="AN68" i="19" s="1"/>
  <c r="Y68" i="19"/>
  <c r="X68" i="19"/>
  <c r="W68" i="19"/>
  <c r="AM68" i="19" s="1"/>
  <c r="AS68" i="19" s="1"/>
  <c r="V68" i="19"/>
  <c r="U68" i="19"/>
  <c r="AL67" i="19"/>
  <c r="AK67" i="19"/>
  <c r="AJ67" i="19"/>
  <c r="AI67" i="19"/>
  <c r="AH67" i="19"/>
  <c r="AG67" i="19"/>
  <c r="AQ67" i="19" s="1"/>
  <c r="AF67" i="19"/>
  <c r="AE67" i="19"/>
  <c r="AD67" i="19"/>
  <c r="AP67" i="19" s="1"/>
  <c r="AC67" i="19"/>
  <c r="AB67" i="19"/>
  <c r="AA67" i="19"/>
  <c r="AO67" i="19" s="1"/>
  <c r="Z67" i="19"/>
  <c r="Y67" i="19"/>
  <c r="X67" i="19"/>
  <c r="AN67" i="19" s="1"/>
  <c r="W67" i="19"/>
  <c r="V67" i="19"/>
  <c r="U67" i="19"/>
  <c r="AM67" i="19" s="1"/>
  <c r="AS67" i="19" s="1"/>
  <c r="AW66" i="19"/>
  <c r="AW65" i="19"/>
  <c r="AL66" i="19"/>
  <c r="AK66" i="19"/>
  <c r="AJ66" i="19"/>
  <c r="AI66" i="19"/>
  <c r="AH66" i="19"/>
  <c r="AG66" i="19"/>
  <c r="AQ66" i="19" s="1"/>
  <c r="AF66" i="19"/>
  <c r="AE66" i="19"/>
  <c r="AD66" i="19"/>
  <c r="AP66" i="19" s="1"/>
  <c r="AC66" i="19"/>
  <c r="AB66" i="19"/>
  <c r="AA66" i="19"/>
  <c r="AO66" i="19" s="1"/>
  <c r="Z66" i="19"/>
  <c r="Y66" i="19"/>
  <c r="X66" i="19"/>
  <c r="AN66" i="19" s="1"/>
  <c r="W66" i="19"/>
  <c r="V66" i="19"/>
  <c r="U66" i="19"/>
  <c r="AM66" i="19" s="1"/>
  <c r="AS66" i="19" s="1"/>
  <c r="AQ65" i="19"/>
  <c r="AL65" i="19"/>
  <c r="AK65" i="19"/>
  <c r="AJ65" i="19"/>
  <c r="AI65" i="19"/>
  <c r="AH65" i="19"/>
  <c r="AG65" i="19"/>
  <c r="AF65" i="19"/>
  <c r="AE65" i="19"/>
  <c r="AD65" i="19"/>
  <c r="AP65" i="19" s="1"/>
  <c r="AC65" i="19"/>
  <c r="AB65" i="19"/>
  <c r="AA65" i="19"/>
  <c r="AO65" i="19" s="1"/>
  <c r="Z65" i="19"/>
  <c r="Y65" i="19"/>
  <c r="X65" i="19"/>
  <c r="AN65" i="19" s="1"/>
  <c r="W65" i="19"/>
  <c r="V65" i="19"/>
  <c r="U65" i="19"/>
  <c r="AM65" i="19" s="1"/>
  <c r="AS65" i="19" s="1"/>
  <c r="BM97" i="19" l="1"/>
  <c r="BL97" i="19"/>
  <c r="BM94" i="19"/>
  <c r="BL94" i="19"/>
  <c r="BL86" i="19"/>
  <c r="BM86" i="19"/>
  <c r="BL98" i="19"/>
  <c r="BM98" i="19"/>
  <c r="BL87" i="19"/>
  <c r="BM87" i="19"/>
  <c r="BM90" i="19"/>
  <c r="BL90" i="19"/>
  <c r="BM89" i="19"/>
  <c r="BL89" i="19"/>
  <c r="BM91" i="19"/>
  <c r="BL91" i="19"/>
  <c r="BM99" i="19"/>
  <c r="BL99" i="19"/>
  <c r="BM88" i="19"/>
  <c r="BL88" i="19"/>
  <c r="BM95" i="19"/>
  <c r="BL95" i="19"/>
  <c r="BM84" i="19"/>
  <c r="BL84" i="19"/>
  <c r="BM92" i="19"/>
  <c r="BL92" i="19"/>
  <c r="BM96" i="19"/>
  <c r="BL96" i="19"/>
  <c r="BM85" i="19"/>
  <c r="BL85" i="19"/>
  <c r="BM93" i="19"/>
  <c r="BL93" i="19"/>
  <c r="BM100" i="19"/>
  <c r="BL100" i="19"/>
  <c r="AS89" i="19"/>
  <c r="AS87" i="19"/>
  <c r="AS92" i="19"/>
  <c r="AS93" i="19"/>
  <c r="AS97" i="19"/>
  <c r="AS99" i="19"/>
  <c r="AS88" i="19"/>
  <c r="AS84" i="19"/>
  <c r="AS90" i="19"/>
  <c r="AS95" i="19"/>
  <c r="AS86" i="19"/>
  <c r="AS100" i="19"/>
  <c r="AS96" i="19"/>
  <c r="AS85" i="19"/>
  <c r="BJ82" i="19"/>
  <c r="BK82" i="19" s="1"/>
  <c r="BL82" i="19" s="1"/>
  <c r="BJ81" i="19"/>
  <c r="BK81" i="19" s="1"/>
  <c r="BL81" i="19" s="1"/>
  <c r="BJ78" i="19"/>
  <c r="BK78" i="19" s="1"/>
  <c r="BL78" i="19" s="1"/>
  <c r="BJ77" i="19"/>
  <c r="BK77" i="19" s="1"/>
  <c r="BL77" i="19" s="1"/>
  <c r="BJ75" i="19"/>
  <c r="BK75" i="19" s="1"/>
  <c r="BL75" i="19" s="1"/>
  <c r="BJ74" i="19"/>
  <c r="BK74" i="19" s="1"/>
  <c r="BL74" i="19" s="1"/>
  <c r="BJ73" i="19"/>
  <c r="BK73" i="19" s="1"/>
  <c r="BL73" i="19" s="1"/>
  <c r="BJ72" i="19"/>
  <c r="BK72" i="19" s="1"/>
  <c r="BL72" i="19" s="1"/>
  <c r="BJ71" i="19"/>
  <c r="BK71" i="19" s="1"/>
  <c r="BL71" i="19" s="1"/>
  <c r="BJ70" i="19"/>
  <c r="BK70" i="19" s="1"/>
  <c r="BL70" i="19" s="1"/>
  <c r="AS72" i="19"/>
  <c r="AS79" i="19"/>
  <c r="AS80" i="19"/>
  <c r="AS75" i="19"/>
  <c r="AS74" i="19"/>
  <c r="AS76" i="19"/>
  <c r="AS71" i="19"/>
  <c r="AS81" i="19"/>
  <c r="AS83" i="19"/>
  <c r="BM70" i="19"/>
  <c r="AS78" i="19"/>
  <c r="AS73" i="19"/>
  <c r="BJ67" i="19"/>
  <c r="BK67" i="19" s="1"/>
  <c r="BM67" i="19" s="1"/>
  <c r="BJ69" i="19"/>
  <c r="BK69" i="19" s="1"/>
  <c r="BL69" i="19" s="1"/>
  <c r="BL68" i="19"/>
  <c r="BM68" i="19"/>
  <c r="BI66" i="19"/>
  <c r="BH66" i="19"/>
  <c r="BG66" i="19"/>
  <c r="BJ66" i="19" s="1"/>
  <c r="BI65" i="19"/>
  <c r="BJ65" i="19"/>
  <c r="BH65" i="19"/>
  <c r="BG65" i="19"/>
  <c r="BB66" i="19"/>
  <c r="BB65" i="19"/>
  <c r="D64" i="20"/>
  <c r="B64" i="20"/>
  <c r="A64" i="20"/>
  <c r="D63" i="20"/>
  <c r="B63" i="20"/>
  <c r="A63" i="20"/>
  <c r="D62" i="20"/>
  <c r="B62" i="20"/>
  <c r="A62" i="20"/>
  <c r="D61" i="20"/>
  <c r="B61" i="20"/>
  <c r="A61" i="20"/>
  <c r="D60" i="20"/>
  <c r="B60" i="20"/>
  <c r="A60" i="20"/>
  <c r="D59" i="20"/>
  <c r="B59" i="20"/>
  <c r="A59" i="20"/>
  <c r="D58" i="20"/>
  <c r="B58" i="20"/>
  <c r="A58" i="20"/>
  <c r="D57" i="20"/>
  <c r="B57" i="20"/>
  <c r="A57" i="20"/>
  <c r="D56" i="20"/>
  <c r="B56" i="20"/>
  <c r="A56" i="20"/>
  <c r="D55" i="20"/>
  <c r="B55" i="20"/>
  <c r="A55" i="20"/>
  <c r="D54" i="20"/>
  <c r="B54" i="20"/>
  <c r="A54" i="20"/>
  <c r="D53" i="20"/>
  <c r="B53" i="20"/>
  <c r="A53" i="20"/>
  <c r="D52" i="20"/>
  <c r="B52" i="20"/>
  <c r="A52" i="20"/>
  <c r="D51" i="20"/>
  <c r="B51" i="20"/>
  <c r="A51" i="20"/>
  <c r="D50" i="20"/>
  <c r="B50" i="20"/>
  <c r="A50" i="20"/>
  <c r="D49" i="20"/>
  <c r="B49" i="20"/>
  <c r="A49" i="20"/>
  <c r="D48" i="20"/>
  <c r="B48" i="20"/>
  <c r="A48" i="20"/>
  <c r="D47" i="20"/>
  <c r="B47" i="20"/>
  <c r="A47" i="20"/>
  <c r="D46" i="20"/>
  <c r="B46" i="20"/>
  <c r="A46" i="20"/>
  <c r="D45" i="20"/>
  <c r="B45" i="20"/>
  <c r="A45" i="20"/>
  <c r="D44" i="20"/>
  <c r="B44" i="20"/>
  <c r="A44" i="20"/>
  <c r="D43" i="20"/>
  <c r="B43" i="20"/>
  <c r="A43" i="20"/>
  <c r="D42" i="20"/>
  <c r="B42" i="20"/>
  <c r="A42" i="20"/>
  <c r="D41" i="20"/>
  <c r="B41" i="20"/>
  <c r="A41" i="20"/>
  <c r="D40" i="20"/>
  <c r="B40" i="20"/>
  <c r="A40" i="20"/>
  <c r="D39" i="20"/>
  <c r="B39" i="20"/>
  <c r="A39" i="20"/>
  <c r="BM82" i="19" l="1"/>
  <c r="BM77" i="19"/>
  <c r="BM74" i="19"/>
  <c r="BM75" i="19"/>
  <c r="BM80" i="19"/>
  <c r="BM81" i="19"/>
  <c r="BM76" i="19"/>
  <c r="BM78" i="19"/>
  <c r="BM79" i="19"/>
  <c r="BM71" i="19"/>
  <c r="BM73" i="19"/>
  <c r="BM83" i="19"/>
  <c r="BM72" i="19"/>
  <c r="BL67" i="19"/>
  <c r="BM69" i="19"/>
  <c r="BI64" i="19"/>
  <c r="BH64" i="19"/>
  <c r="BG64" i="19"/>
  <c r="BJ64" i="19" s="1"/>
  <c r="BA64" i="19"/>
  <c r="BB64" i="19"/>
  <c r="F64" i="20" s="1"/>
  <c r="G64" i="20" s="1"/>
  <c r="H64" i="20" s="1"/>
  <c r="AW64" i="19"/>
  <c r="AL64" i="19"/>
  <c r="AK64" i="19"/>
  <c r="AJ64" i="19"/>
  <c r="AI64" i="19"/>
  <c r="AH64" i="19"/>
  <c r="AG64" i="19"/>
  <c r="AF64" i="19"/>
  <c r="AE64" i="19"/>
  <c r="AD64" i="19"/>
  <c r="AP64" i="19" s="1"/>
  <c r="AC64" i="19"/>
  <c r="AB64" i="19"/>
  <c r="AA64" i="19"/>
  <c r="AO64" i="19" s="1"/>
  <c r="Z64" i="19"/>
  <c r="Y64" i="19"/>
  <c r="X64" i="19"/>
  <c r="W64" i="19"/>
  <c r="V64" i="19"/>
  <c r="U64" i="19"/>
  <c r="BI63" i="19"/>
  <c r="BH63" i="19"/>
  <c r="BJ63" i="19" s="1"/>
  <c r="BG63" i="19"/>
  <c r="BA63" i="19"/>
  <c r="BB63" i="19"/>
  <c r="F63" i="20" s="1"/>
  <c r="G63" i="20" s="1"/>
  <c r="H63" i="20" s="1"/>
  <c r="AW63" i="19"/>
  <c r="AM63" i="19"/>
  <c r="AL63" i="19"/>
  <c r="AK63" i="19"/>
  <c r="AJ63" i="19"/>
  <c r="AI63" i="19"/>
  <c r="AH63" i="19"/>
  <c r="AG63" i="19"/>
  <c r="AF63" i="19"/>
  <c r="AE63" i="19"/>
  <c r="AD63" i="19"/>
  <c r="AC63" i="19"/>
  <c r="AB63" i="19"/>
  <c r="AA63" i="19"/>
  <c r="AO63" i="19" s="1"/>
  <c r="Z63" i="19"/>
  <c r="Y63" i="19"/>
  <c r="AN63" i="19" s="1"/>
  <c r="X63" i="19"/>
  <c r="W63" i="19"/>
  <c r="V63" i="19"/>
  <c r="U63" i="19"/>
  <c r="BI62" i="19"/>
  <c r="BH62" i="19"/>
  <c r="BG62" i="19"/>
  <c r="BA62" i="19"/>
  <c r="BB62" i="19"/>
  <c r="F62" i="20" s="1"/>
  <c r="G62" i="20" s="1"/>
  <c r="H62" i="20" s="1"/>
  <c r="AW62" i="19"/>
  <c r="AN62" i="19"/>
  <c r="AL62" i="19"/>
  <c r="AK62" i="19"/>
  <c r="AJ62" i="19"/>
  <c r="AI62" i="19"/>
  <c r="AH62" i="19"/>
  <c r="AQ62" i="19" s="1"/>
  <c r="AG62" i="19"/>
  <c r="AF62" i="19"/>
  <c r="AE62" i="19"/>
  <c r="AD62" i="19"/>
  <c r="AP62" i="19" s="1"/>
  <c r="AC62" i="19"/>
  <c r="AB62" i="19"/>
  <c r="AA62" i="19"/>
  <c r="Z62" i="19"/>
  <c r="Y62" i="19"/>
  <c r="X62" i="19"/>
  <c r="W62" i="19"/>
  <c r="V62" i="19"/>
  <c r="U62" i="19"/>
  <c r="AM62" i="19" s="1"/>
  <c r="BI61" i="19"/>
  <c r="BH61" i="19"/>
  <c r="BJ61" i="19" s="1"/>
  <c r="BG61" i="19"/>
  <c r="BA61" i="19"/>
  <c r="BB61" i="19"/>
  <c r="F61" i="20" s="1"/>
  <c r="G61" i="20" s="1"/>
  <c r="H61" i="20" s="1"/>
  <c r="AW61" i="19"/>
  <c r="AL61" i="19"/>
  <c r="AK61" i="19"/>
  <c r="AJ61" i="19"/>
  <c r="AI61" i="19"/>
  <c r="AH61" i="19"/>
  <c r="AQ61" i="19" s="1"/>
  <c r="AG61" i="19"/>
  <c r="AF61" i="19"/>
  <c r="AE61" i="19"/>
  <c r="AD61" i="19"/>
  <c r="AC61" i="19"/>
  <c r="AO61" i="19" s="1"/>
  <c r="AB61" i="19"/>
  <c r="AA61" i="19"/>
  <c r="Z61" i="19"/>
  <c r="Y61" i="19"/>
  <c r="X61" i="19"/>
  <c r="W61" i="19"/>
  <c r="V61" i="19"/>
  <c r="U61" i="19"/>
  <c r="BI60" i="19"/>
  <c r="BH60" i="19"/>
  <c r="BG60" i="19"/>
  <c r="BJ60" i="19" s="1"/>
  <c r="BA60" i="19"/>
  <c r="BB60" i="19"/>
  <c r="F60" i="20" s="1"/>
  <c r="G60" i="20" s="1"/>
  <c r="H60" i="20" s="1"/>
  <c r="I60" i="20" s="1"/>
  <c r="AW60" i="19"/>
  <c r="AL60" i="19"/>
  <c r="AK60" i="19"/>
  <c r="AJ60" i="19"/>
  <c r="AI60" i="19"/>
  <c r="AH60" i="19"/>
  <c r="AG60" i="19"/>
  <c r="AQ60" i="19" s="1"/>
  <c r="AF60" i="19"/>
  <c r="AE60" i="19"/>
  <c r="AD60" i="19"/>
  <c r="AC60" i="19"/>
  <c r="AB60" i="19"/>
  <c r="AA60" i="19"/>
  <c r="AO60" i="19" s="1"/>
  <c r="Z60" i="19"/>
  <c r="Y60" i="19"/>
  <c r="X60" i="19"/>
  <c r="W60" i="19"/>
  <c r="V60" i="19"/>
  <c r="U60" i="19"/>
  <c r="AM60" i="19" s="1"/>
  <c r="BI59" i="19"/>
  <c r="BH59" i="19"/>
  <c r="BG59" i="19"/>
  <c r="BA59" i="19"/>
  <c r="BB59" i="19"/>
  <c r="F59" i="20" s="1"/>
  <c r="G59" i="20" s="1"/>
  <c r="H59" i="20" s="1"/>
  <c r="J59" i="20" s="1"/>
  <c r="AW59" i="19"/>
  <c r="AL59" i="19"/>
  <c r="AK59" i="19"/>
  <c r="AJ59" i="19"/>
  <c r="AI59" i="19"/>
  <c r="AH59" i="19"/>
  <c r="AG59" i="19"/>
  <c r="AQ59" i="19" s="1"/>
  <c r="AF59" i="19"/>
  <c r="AE59" i="19"/>
  <c r="AD59" i="19"/>
  <c r="AC59" i="19"/>
  <c r="AB59" i="19"/>
  <c r="AA59" i="19"/>
  <c r="AO59" i="19" s="1"/>
  <c r="Z59" i="19"/>
  <c r="Y59" i="19"/>
  <c r="AN59" i="19" s="1"/>
  <c r="X59" i="19"/>
  <c r="W59" i="19"/>
  <c r="V59" i="19"/>
  <c r="U59" i="19"/>
  <c r="AM59" i="19" s="1"/>
  <c r="BI58" i="19"/>
  <c r="BH58" i="19"/>
  <c r="BG58" i="19"/>
  <c r="BA58" i="19"/>
  <c r="BB58" i="19"/>
  <c r="F58" i="20" s="1"/>
  <c r="G58" i="20" s="1"/>
  <c r="H58" i="20" s="1"/>
  <c r="AW58" i="19"/>
  <c r="AL58" i="19"/>
  <c r="AK58" i="19"/>
  <c r="AJ58" i="19"/>
  <c r="AI58" i="19"/>
  <c r="AH58" i="19"/>
  <c r="AG58" i="19"/>
  <c r="AF58" i="19"/>
  <c r="AE58" i="19"/>
  <c r="AD58" i="19"/>
  <c r="AC58" i="19"/>
  <c r="AB58" i="19"/>
  <c r="AA58" i="19"/>
  <c r="AO58" i="19" s="1"/>
  <c r="Z58" i="19"/>
  <c r="Y58" i="19"/>
  <c r="X58" i="19"/>
  <c r="W58" i="19"/>
  <c r="V58" i="19"/>
  <c r="U58" i="19"/>
  <c r="BJ57" i="19"/>
  <c r="BI57" i="19"/>
  <c r="BH57" i="19"/>
  <c r="BG57" i="19"/>
  <c r="BA57" i="19"/>
  <c r="BB57" i="19"/>
  <c r="F57" i="20" s="1"/>
  <c r="G57" i="20" s="1"/>
  <c r="H57" i="20" s="1"/>
  <c r="AW57" i="19"/>
  <c r="AL57" i="19"/>
  <c r="AK57" i="19"/>
  <c r="AJ57" i="19"/>
  <c r="AI57" i="19"/>
  <c r="AH57" i="19"/>
  <c r="AG57" i="19"/>
  <c r="AF57" i="19"/>
  <c r="AE57" i="19"/>
  <c r="AD57" i="19"/>
  <c r="AC57" i="19"/>
  <c r="AB57" i="19"/>
  <c r="AA57" i="19"/>
  <c r="Z57" i="19"/>
  <c r="Y57" i="19"/>
  <c r="X57" i="19"/>
  <c r="W57" i="19"/>
  <c r="V57" i="19"/>
  <c r="AM57" i="19" s="1"/>
  <c r="U57" i="19"/>
  <c r="BI56" i="19"/>
  <c r="BH56" i="19"/>
  <c r="BJ56" i="19" s="1"/>
  <c r="BG56" i="19"/>
  <c r="BA56" i="19"/>
  <c r="BB56" i="19"/>
  <c r="F56" i="20" s="1"/>
  <c r="G56" i="20" s="1"/>
  <c r="H56" i="20" s="1"/>
  <c r="AW56" i="19"/>
  <c r="AL56" i="19"/>
  <c r="AK56" i="19"/>
  <c r="AJ56" i="19"/>
  <c r="AI56" i="19"/>
  <c r="AH56" i="19"/>
  <c r="AG56" i="19"/>
  <c r="AF56" i="19"/>
  <c r="AE56" i="19"/>
  <c r="AD56" i="19"/>
  <c r="AC56" i="19"/>
  <c r="AB56" i="19"/>
  <c r="AA56" i="19"/>
  <c r="Z56" i="19"/>
  <c r="Y56" i="19"/>
  <c r="AN56" i="19" s="1"/>
  <c r="X56" i="19"/>
  <c r="W56" i="19"/>
  <c r="V56" i="19"/>
  <c r="U56" i="19"/>
  <c r="AM56" i="19" s="1"/>
  <c r="BI55" i="19"/>
  <c r="BH55" i="19"/>
  <c r="BJ55" i="19" s="1"/>
  <c r="BG55" i="19"/>
  <c r="BA55" i="19"/>
  <c r="BB55" i="19"/>
  <c r="F55" i="20" s="1"/>
  <c r="G55" i="20" s="1"/>
  <c r="H55" i="20" s="1"/>
  <c r="AW55" i="19"/>
  <c r="AM55" i="19"/>
  <c r="AL55" i="19"/>
  <c r="AK55" i="19"/>
  <c r="AJ55" i="19"/>
  <c r="AI55" i="19"/>
  <c r="AH55" i="19"/>
  <c r="AG55" i="19"/>
  <c r="AQ55" i="19" s="1"/>
  <c r="AF55" i="19"/>
  <c r="AE55" i="19"/>
  <c r="AD55" i="19"/>
  <c r="AC55" i="19"/>
  <c r="AB55" i="19"/>
  <c r="AA55" i="19"/>
  <c r="Z55" i="19"/>
  <c r="Y55" i="19"/>
  <c r="X55" i="19"/>
  <c r="W55" i="19"/>
  <c r="V55" i="19"/>
  <c r="U55" i="19"/>
  <c r="BJ54" i="19"/>
  <c r="BI54" i="19"/>
  <c r="BH54" i="19"/>
  <c r="BG54" i="19"/>
  <c r="BA54" i="19"/>
  <c r="BB54" i="19"/>
  <c r="F54" i="20" s="1"/>
  <c r="G54" i="20" s="1"/>
  <c r="H54" i="20" s="1"/>
  <c r="AW54" i="19"/>
  <c r="AL54" i="19"/>
  <c r="AK54" i="19"/>
  <c r="AJ54" i="19"/>
  <c r="AI54" i="19"/>
  <c r="AH54" i="19"/>
  <c r="AG54" i="19"/>
  <c r="AQ54" i="19" s="1"/>
  <c r="AF54" i="19"/>
  <c r="AE54" i="19"/>
  <c r="AD54" i="19"/>
  <c r="AP54" i="19" s="1"/>
  <c r="AC54" i="19"/>
  <c r="AO54" i="19" s="1"/>
  <c r="AB54" i="19"/>
  <c r="AA54" i="19"/>
  <c r="Z54" i="19"/>
  <c r="Y54" i="19"/>
  <c r="X54" i="19"/>
  <c r="AN54" i="19" s="1"/>
  <c r="W54" i="19"/>
  <c r="V54" i="19"/>
  <c r="U54" i="19"/>
  <c r="AM54" i="19" s="1"/>
  <c r="BJ53" i="19"/>
  <c r="BI53" i="19"/>
  <c r="BH53" i="19"/>
  <c r="BG53" i="19"/>
  <c r="BA53" i="19"/>
  <c r="BB53" i="19"/>
  <c r="F53" i="20" s="1"/>
  <c r="G53" i="20" s="1"/>
  <c r="H53" i="20" s="1"/>
  <c r="AW53" i="19"/>
  <c r="AL53" i="19"/>
  <c r="AK53" i="19"/>
  <c r="AJ53" i="19"/>
  <c r="AI53" i="19"/>
  <c r="AH53" i="19"/>
  <c r="AG53" i="19"/>
  <c r="AF53" i="19"/>
  <c r="AE53" i="19"/>
  <c r="AD53" i="19"/>
  <c r="AP53" i="19" s="1"/>
  <c r="AC53" i="19"/>
  <c r="AB53" i="19"/>
  <c r="AA53" i="19"/>
  <c r="Z53" i="19"/>
  <c r="Y53" i="19"/>
  <c r="AN53" i="19" s="1"/>
  <c r="X53" i="19"/>
  <c r="W53" i="19"/>
  <c r="V53" i="19"/>
  <c r="U53" i="19"/>
  <c r="BI52" i="19"/>
  <c r="BH52" i="19"/>
  <c r="BG52" i="19"/>
  <c r="BA52" i="19"/>
  <c r="BB52" i="19"/>
  <c r="F52" i="20" s="1"/>
  <c r="G52" i="20" s="1"/>
  <c r="H52" i="20" s="1"/>
  <c r="AW52" i="19"/>
  <c r="AL52" i="19"/>
  <c r="AK52" i="19"/>
  <c r="AJ52" i="19"/>
  <c r="AI52" i="19"/>
  <c r="AH52" i="19"/>
  <c r="AG52" i="19"/>
  <c r="AF52" i="19"/>
  <c r="AE52" i="19"/>
  <c r="AD52" i="19"/>
  <c r="AP52" i="19" s="1"/>
  <c r="AC52" i="19"/>
  <c r="AB52" i="19"/>
  <c r="AA52" i="19"/>
  <c r="Z52" i="19"/>
  <c r="Y52" i="19"/>
  <c r="AN52" i="19" s="1"/>
  <c r="X52" i="19"/>
  <c r="W52" i="19"/>
  <c r="V52" i="19"/>
  <c r="U52" i="19"/>
  <c r="BI51" i="19"/>
  <c r="BH51" i="19"/>
  <c r="BG51" i="19"/>
  <c r="BA51" i="19"/>
  <c r="BB51" i="19"/>
  <c r="F51" i="20" s="1"/>
  <c r="G51" i="20" s="1"/>
  <c r="H51" i="20" s="1"/>
  <c r="AW51" i="19"/>
  <c r="AL51" i="19"/>
  <c r="AK51" i="19"/>
  <c r="AJ51" i="19"/>
  <c r="AI51" i="19"/>
  <c r="AH51" i="19"/>
  <c r="AG51" i="19"/>
  <c r="AF51" i="19"/>
  <c r="AE51" i="19"/>
  <c r="AD51" i="19"/>
  <c r="AP51" i="19" s="1"/>
  <c r="AC51" i="19"/>
  <c r="AB51" i="19"/>
  <c r="AA51" i="19"/>
  <c r="Z51" i="19"/>
  <c r="Y51" i="19"/>
  <c r="AN51" i="19" s="1"/>
  <c r="X51" i="19"/>
  <c r="W51" i="19"/>
  <c r="V51" i="19"/>
  <c r="U51" i="19"/>
  <c r="BI50" i="19"/>
  <c r="BH50" i="19"/>
  <c r="BG50" i="19"/>
  <c r="BA50" i="19"/>
  <c r="BB50" i="19"/>
  <c r="F50" i="20" s="1"/>
  <c r="G50" i="20" s="1"/>
  <c r="H50" i="20" s="1"/>
  <c r="AW50" i="19"/>
  <c r="AL50" i="19"/>
  <c r="AK50" i="19"/>
  <c r="AJ50" i="19"/>
  <c r="AI50" i="19"/>
  <c r="AH50" i="19"/>
  <c r="AQ50" i="19" s="1"/>
  <c r="AG50" i="19"/>
  <c r="AF50" i="19"/>
  <c r="AE50" i="19"/>
  <c r="AD50" i="19"/>
  <c r="AC50" i="19"/>
  <c r="AB50" i="19"/>
  <c r="AA50" i="19"/>
  <c r="Z50" i="19"/>
  <c r="Y50" i="19"/>
  <c r="X50" i="19"/>
  <c r="W50" i="19"/>
  <c r="V50" i="19"/>
  <c r="U50" i="19"/>
  <c r="BI49" i="19"/>
  <c r="BH49" i="19"/>
  <c r="BG49" i="19"/>
  <c r="BA49" i="19"/>
  <c r="BB49" i="19"/>
  <c r="F49" i="20" s="1"/>
  <c r="G49" i="20" s="1"/>
  <c r="H49" i="20" s="1"/>
  <c r="AW49" i="19"/>
  <c r="AL49" i="19"/>
  <c r="AK49" i="19"/>
  <c r="AJ49" i="19"/>
  <c r="AI49" i="19"/>
  <c r="AH49" i="19"/>
  <c r="AG49" i="19"/>
  <c r="AF49" i="19"/>
  <c r="AE49" i="19"/>
  <c r="AD49" i="19"/>
  <c r="AC49" i="19"/>
  <c r="AB49" i="19"/>
  <c r="AA49" i="19"/>
  <c r="Z49" i="19"/>
  <c r="Y49" i="19"/>
  <c r="X49" i="19"/>
  <c r="W49" i="19"/>
  <c r="V49" i="19"/>
  <c r="U49" i="19"/>
  <c r="BI48" i="19"/>
  <c r="BH48" i="19"/>
  <c r="BJ48" i="19" s="1"/>
  <c r="BG48" i="19"/>
  <c r="BA48" i="19"/>
  <c r="BB48" i="19"/>
  <c r="F48" i="20" s="1"/>
  <c r="G48" i="20" s="1"/>
  <c r="H48" i="20" s="1"/>
  <c r="AW48" i="19"/>
  <c r="AL48" i="19"/>
  <c r="AK48" i="19"/>
  <c r="AJ48" i="19"/>
  <c r="AI48" i="19"/>
  <c r="AH48" i="19"/>
  <c r="AG48" i="19"/>
  <c r="AF48" i="19"/>
  <c r="AE48" i="19"/>
  <c r="AD48" i="19"/>
  <c r="AC48" i="19"/>
  <c r="AB48" i="19"/>
  <c r="AA48" i="19"/>
  <c r="Z48" i="19"/>
  <c r="Y48" i="19"/>
  <c r="X48" i="19"/>
  <c r="W48" i="19"/>
  <c r="V48" i="19"/>
  <c r="U48" i="19"/>
  <c r="BI47" i="19"/>
  <c r="BH47" i="19"/>
  <c r="BG47" i="19"/>
  <c r="BJ47" i="19" s="1"/>
  <c r="BA47" i="19"/>
  <c r="BB47" i="19"/>
  <c r="F47" i="20" s="1"/>
  <c r="G47" i="20" s="1"/>
  <c r="H47" i="20" s="1"/>
  <c r="AW47" i="19"/>
  <c r="AL47" i="19"/>
  <c r="AK47" i="19"/>
  <c r="AJ47" i="19"/>
  <c r="AI47" i="19"/>
  <c r="AH47" i="19"/>
  <c r="AG47" i="19"/>
  <c r="AF47" i="19"/>
  <c r="AE47" i="19"/>
  <c r="AD47" i="19"/>
  <c r="AC47" i="19"/>
  <c r="AB47" i="19"/>
  <c r="AA47" i="19"/>
  <c r="Z47" i="19"/>
  <c r="Y47" i="19"/>
  <c r="X47" i="19"/>
  <c r="W47" i="19"/>
  <c r="V47" i="19"/>
  <c r="U47" i="19"/>
  <c r="BI46" i="19"/>
  <c r="BH46" i="19"/>
  <c r="BG46" i="19"/>
  <c r="BA46" i="19"/>
  <c r="BB46" i="19"/>
  <c r="F46" i="20" s="1"/>
  <c r="G46" i="20" s="1"/>
  <c r="H46" i="20" s="1"/>
  <c r="AW46" i="19"/>
  <c r="AL46" i="19"/>
  <c r="AK46" i="19"/>
  <c r="AJ46" i="19"/>
  <c r="AI46" i="19"/>
  <c r="AH46" i="19"/>
  <c r="AG46" i="19"/>
  <c r="AF46" i="19"/>
  <c r="AE46" i="19"/>
  <c r="AD46" i="19"/>
  <c r="AC46" i="19"/>
  <c r="AB46" i="19"/>
  <c r="AA46" i="19"/>
  <c r="AO46" i="19" s="1"/>
  <c r="Z46" i="19"/>
  <c r="Y46" i="19"/>
  <c r="X46" i="19"/>
  <c r="W46" i="19"/>
  <c r="V46" i="19"/>
  <c r="U46" i="19"/>
  <c r="BA45" i="19"/>
  <c r="R45" i="24"/>
  <c r="S45" i="24" s="1"/>
  <c r="U45" i="24" s="1"/>
  <c r="Q45" i="24"/>
  <c r="P45" i="24"/>
  <c r="O45" i="24"/>
  <c r="T45" i="24" s="1"/>
  <c r="V45" i="24" s="1"/>
  <c r="X45" i="24" s="1"/>
  <c r="Y45" i="24" s="1"/>
  <c r="N45" i="24"/>
  <c r="BJ45" i="19"/>
  <c r="BI45" i="19"/>
  <c r="BH45" i="19"/>
  <c r="BG45" i="19"/>
  <c r="BB45" i="19"/>
  <c r="F45" i="20" s="1"/>
  <c r="G45" i="20" s="1"/>
  <c r="H45" i="20" s="1"/>
  <c r="AW45" i="19"/>
  <c r="AL45" i="19"/>
  <c r="AK45" i="19"/>
  <c r="AJ45" i="19"/>
  <c r="AI45" i="19"/>
  <c r="AH45" i="19"/>
  <c r="AG45" i="19"/>
  <c r="AQ45" i="19" s="1"/>
  <c r="AF45" i="19"/>
  <c r="AE45" i="19"/>
  <c r="AD45" i="19"/>
  <c r="AP45" i="19" s="1"/>
  <c r="AC45" i="19"/>
  <c r="AB45" i="19"/>
  <c r="AA45" i="19"/>
  <c r="AO45" i="19" s="1"/>
  <c r="Z45" i="19"/>
  <c r="Y45" i="19"/>
  <c r="X45" i="19"/>
  <c r="AN45" i="19" s="1"/>
  <c r="W45" i="19"/>
  <c r="V45" i="19"/>
  <c r="U45" i="19"/>
  <c r="AM45" i="19" s="1"/>
  <c r="BA44" i="19"/>
  <c r="BA43" i="19"/>
  <c r="R44" i="24"/>
  <c r="S44" i="24" s="1"/>
  <c r="U44" i="24" s="1"/>
  <c r="Q44" i="24"/>
  <c r="P44" i="24"/>
  <c r="O44" i="24"/>
  <c r="T44" i="24" s="1"/>
  <c r="V44" i="24" s="1"/>
  <c r="X44" i="24" s="1"/>
  <c r="Y44" i="24" s="1"/>
  <c r="N44" i="24"/>
  <c r="R43" i="24"/>
  <c r="S43" i="24" s="1"/>
  <c r="U43" i="24" s="1"/>
  <c r="Q43" i="24"/>
  <c r="P43" i="24"/>
  <c r="T43" i="24" s="1"/>
  <c r="V43" i="24" s="1"/>
  <c r="X43" i="24" s="1"/>
  <c r="Y43" i="24" s="1"/>
  <c r="O43" i="24"/>
  <c r="N43" i="24"/>
  <c r="BI44" i="19"/>
  <c r="BH44" i="19"/>
  <c r="BG44" i="19"/>
  <c r="BB44" i="19"/>
  <c r="F44" i="20" s="1"/>
  <c r="G44" i="20" s="1"/>
  <c r="H44" i="20" s="1"/>
  <c r="AW44" i="19"/>
  <c r="AL44" i="19"/>
  <c r="AK44" i="19"/>
  <c r="AJ44" i="19"/>
  <c r="AI44" i="19"/>
  <c r="AH44" i="19"/>
  <c r="AG44" i="19"/>
  <c r="AQ44" i="19" s="1"/>
  <c r="AF44" i="19"/>
  <c r="AE44" i="19"/>
  <c r="AD44" i="19"/>
  <c r="AP44" i="19" s="1"/>
  <c r="AC44" i="19"/>
  <c r="AB44" i="19"/>
  <c r="AA44" i="19"/>
  <c r="Z44" i="19"/>
  <c r="AN44" i="19" s="1"/>
  <c r="Y44" i="19"/>
  <c r="X44" i="19"/>
  <c r="W44" i="19"/>
  <c r="V44" i="19"/>
  <c r="U44" i="19"/>
  <c r="AM44" i="19" s="1"/>
  <c r="BI43" i="19"/>
  <c r="BH43" i="19"/>
  <c r="BG43" i="19"/>
  <c r="BJ43" i="19" s="1"/>
  <c r="BB43" i="19"/>
  <c r="F43" i="20" s="1"/>
  <c r="G43" i="20" s="1"/>
  <c r="H43" i="20" s="1"/>
  <c r="AW43" i="19"/>
  <c r="AL43" i="19"/>
  <c r="AK43" i="19"/>
  <c r="AJ43" i="19"/>
  <c r="AI43" i="19"/>
  <c r="AH43" i="19"/>
  <c r="AG43" i="19"/>
  <c r="AQ43" i="19" s="1"/>
  <c r="AF43" i="19"/>
  <c r="AE43" i="19"/>
  <c r="AD43" i="19"/>
  <c r="AC43" i="19"/>
  <c r="AB43" i="19"/>
  <c r="AA43" i="19"/>
  <c r="Z43" i="19"/>
  <c r="Y43" i="19"/>
  <c r="X43" i="19"/>
  <c r="AN43" i="19" s="1"/>
  <c r="W43" i="19"/>
  <c r="V43" i="19"/>
  <c r="U43" i="19"/>
  <c r="AM43" i="19" s="1"/>
  <c r="BA42" i="19"/>
  <c r="BA41" i="19"/>
  <c r="BA40" i="19"/>
  <c r="BA39" i="19"/>
  <c r="R42" i="24"/>
  <c r="S42" i="24" s="1"/>
  <c r="U42" i="24" s="1"/>
  <c r="Q42" i="24"/>
  <c r="P42" i="24"/>
  <c r="O42" i="24"/>
  <c r="N42" i="24"/>
  <c r="T42" i="24" s="1"/>
  <c r="S41" i="24"/>
  <c r="U41" i="24" s="1"/>
  <c r="R41" i="24"/>
  <c r="Q41" i="24"/>
  <c r="P41" i="24"/>
  <c r="T41" i="24" s="1"/>
  <c r="V41" i="24" s="1"/>
  <c r="X41" i="24" s="1"/>
  <c r="Y41" i="24" s="1"/>
  <c r="O41" i="24"/>
  <c r="N41" i="24"/>
  <c r="R40" i="24"/>
  <c r="S40" i="24" s="1"/>
  <c r="U40" i="24" s="1"/>
  <c r="Q40" i="24"/>
  <c r="P40" i="24"/>
  <c r="O40" i="24"/>
  <c r="N40" i="24"/>
  <c r="T40" i="24" s="1"/>
  <c r="V40" i="24" s="1"/>
  <c r="X40" i="24" s="1"/>
  <c r="Y40" i="24" s="1"/>
  <c r="R39" i="24"/>
  <c r="T39" i="24" s="1"/>
  <c r="Q39" i="24"/>
  <c r="P39" i="24"/>
  <c r="O39" i="24"/>
  <c r="N39" i="24"/>
  <c r="BB41" i="19"/>
  <c r="F41" i="20" s="1"/>
  <c r="G41" i="20" s="1"/>
  <c r="H41" i="20" s="1"/>
  <c r="BB17" i="19"/>
  <c r="F17" i="20" s="1"/>
  <c r="G17" i="20" s="1"/>
  <c r="H17" i="20" s="1"/>
  <c r="BB18" i="19"/>
  <c r="F18" i="20" s="1"/>
  <c r="G18" i="20" s="1"/>
  <c r="H18" i="20" s="1"/>
  <c r="Z22" i="24"/>
  <c r="BB26" i="19"/>
  <c r="F26" i="20" s="1"/>
  <c r="G26" i="20" s="1"/>
  <c r="H26" i="20" s="1"/>
  <c r="Z27" i="24"/>
  <c r="Z28" i="24"/>
  <c r="Z30" i="24"/>
  <c r="BB33" i="19"/>
  <c r="F33" i="20" s="1"/>
  <c r="G33" i="20" s="1"/>
  <c r="H33" i="20" s="1"/>
  <c r="BB34" i="19"/>
  <c r="F34" i="20" s="1"/>
  <c r="G34" i="20" s="1"/>
  <c r="H34" i="20" s="1"/>
  <c r="BB36" i="19"/>
  <c r="F36" i="20" s="1"/>
  <c r="G36" i="20" s="1"/>
  <c r="H36" i="20" s="1"/>
  <c r="BB38" i="19"/>
  <c r="F38" i="20" s="1"/>
  <c r="G38" i="20" s="1"/>
  <c r="H38" i="20" s="1"/>
  <c r="BB40" i="19"/>
  <c r="F40" i="20" s="1"/>
  <c r="G40" i="20" s="1"/>
  <c r="H40" i="20" s="1"/>
  <c r="BB42" i="19"/>
  <c r="F42" i="20" s="1"/>
  <c r="G42" i="20" s="1"/>
  <c r="H42" i="20" s="1"/>
  <c r="BI42" i="19"/>
  <c r="BH42" i="19"/>
  <c r="BG42" i="19"/>
  <c r="AW42" i="19"/>
  <c r="AL42" i="19"/>
  <c r="AK42" i="19"/>
  <c r="AJ42" i="19"/>
  <c r="AI42" i="19"/>
  <c r="AH42" i="19"/>
  <c r="AG42" i="19"/>
  <c r="AF42" i="19"/>
  <c r="AE42" i="19"/>
  <c r="AD42" i="19"/>
  <c r="AC42" i="19"/>
  <c r="AB42" i="19"/>
  <c r="AA42" i="19"/>
  <c r="Z42" i="19"/>
  <c r="Y42" i="19"/>
  <c r="X42" i="19"/>
  <c r="W42" i="19"/>
  <c r="V42" i="19"/>
  <c r="U42" i="19"/>
  <c r="BI41" i="19"/>
  <c r="BJ41" i="19" s="1"/>
  <c r="BH41" i="19"/>
  <c r="BG41" i="19"/>
  <c r="AW41" i="19"/>
  <c r="AL41" i="19"/>
  <c r="AK41" i="19"/>
  <c r="AJ41" i="19"/>
  <c r="AI41" i="19"/>
  <c r="AH41" i="19"/>
  <c r="AG41" i="19"/>
  <c r="AF41" i="19"/>
  <c r="AE41" i="19"/>
  <c r="AD41" i="19"/>
  <c r="AC41" i="19"/>
  <c r="AB41" i="19"/>
  <c r="AA41" i="19"/>
  <c r="Z41" i="19"/>
  <c r="Y41" i="19"/>
  <c r="X41" i="19"/>
  <c r="W41" i="19"/>
  <c r="V41" i="19"/>
  <c r="U41" i="19"/>
  <c r="BI40" i="19"/>
  <c r="BH40" i="19"/>
  <c r="BG40" i="19"/>
  <c r="AW40" i="19"/>
  <c r="AL40" i="19"/>
  <c r="AK40" i="19"/>
  <c r="AJ40" i="19"/>
  <c r="AI40" i="19"/>
  <c r="AH40" i="19"/>
  <c r="AG40" i="19"/>
  <c r="AF40" i="19"/>
  <c r="AE40" i="19"/>
  <c r="AD40" i="19"/>
  <c r="AC40" i="19"/>
  <c r="AB40" i="19"/>
  <c r="AA40" i="19"/>
  <c r="Z40" i="19"/>
  <c r="Y40" i="19"/>
  <c r="X40" i="19"/>
  <c r="W40" i="19"/>
  <c r="V40" i="19"/>
  <c r="U40" i="19"/>
  <c r="BI39" i="19"/>
  <c r="BH39" i="19"/>
  <c r="BG39" i="19"/>
  <c r="AW39" i="19"/>
  <c r="AL39" i="19"/>
  <c r="AK39" i="19"/>
  <c r="AJ39" i="19"/>
  <c r="AI39" i="19"/>
  <c r="AH39" i="19"/>
  <c r="AG39" i="19"/>
  <c r="AF39" i="19"/>
  <c r="AE39" i="19"/>
  <c r="AD39" i="19"/>
  <c r="AC39" i="19"/>
  <c r="AB39" i="19"/>
  <c r="AA39" i="19"/>
  <c r="Z39" i="19"/>
  <c r="Y39" i="19"/>
  <c r="X39" i="19"/>
  <c r="W39" i="19"/>
  <c r="V39" i="19"/>
  <c r="U39" i="19"/>
  <c r="BI38" i="19"/>
  <c r="BH38" i="19"/>
  <c r="BG38" i="19"/>
  <c r="BI37" i="19"/>
  <c r="BH37" i="19"/>
  <c r="BG37" i="19"/>
  <c r="BI36" i="19"/>
  <c r="BH36" i="19"/>
  <c r="BG36" i="19"/>
  <c r="BI35" i="19"/>
  <c r="BH35" i="19"/>
  <c r="BG35" i="19"/>
  <c r="BI34" i="19"/>
  <c r="BH34" i="19"/>
  <c r="BG34" i="19"/>
  <c r="BI33" i="19"/>
  <c r="BH33" i="19"/>
  <c r="BG33" i="19"/>
  <c r="BI32" i="19"/>
  <c r="BH32" i="19"/>
  <c r="BG32" i="19"/>
  <c r="BI31" i="19"/>
  <c r="BH31" i="19"/>
  <c r="BG31" i="19"/>
  <c r="BI30" i="19"/>
  <c r="BH30" i="19"/>
  <c r="BG30" i="19"/>
  <c r="BI29" i="19"/>
  <c r="BH29" i="19"/>
  <c r="BG29" i="19"/>
  <c r="BI28" i="19"/>
  <c r="BH28" i="19"/>
  <c r="BG28" i="19"/>
  <c r="BI27" i="19"/>
  <c r="BH27" i="19"/>
  <c r="BG27" i="19"/>
  <c r="BI26" i="19"/>
  <c r="BH26" i="19"/>
  <c r="BG26" i="19"/>
  <c r="BI25" i="19"/>
  <c r="BH25" i="19"/>
  <c r="BG25" i="19"/>
  <c r="BI24" i="19"/>
  <c r="BH24" i="19"/>
  <c r="BG24" i="19"/>
  <c r="BI23" i="19"/>
  <c r="BH23" i="19"/>
  <c r="BG23" i="19"/>
  <c r="BI22" i="19"/>
  <c r="BH22" i="19"/>
  <c r="BG22" i="19"/>
  <c r="BI21" i="19"/>
  <c r="BH21" i="19"/>
  <c r="BG21" i="19"/>
  <c r="BI20" i="19"/>
  <c r="BH20" i="19"/>
  <c r="BG20" i="19"/>
  <c r="BI19" i="19"/>
  <c r="BH19" i="19"/>
  <c r="BG19" i="19"/>
  <c r="BI18" i="19"/>
  <c r="BH18" i="19"/>
  <c r="BG18" i="19"/>
  <c r="BI17" i="19"/>
  <c r="BH17" i="19"/>
  <c r="BG17" i="19"/>
  <c r="BI16" i="19"/>
  <c r="BH16" i="19"/>
  <c r="BG16" i="19"/>
  <c r="BI15" i="19"/>
  <c r="BH15" i="19"/>
  <c r="BG15" i="19"/>
  <c r="BI14" i="19"/>
  <c r="BH14" i="19"/>
  <c r="BG14" i="19"/>
  <c r="BI13" i="19"/>
  <c r="BH13" i="19"/>
  <c r="BG13" i="19"/>
  <c r="BI12" i="19"/>
  <c r="BH12" i="19"/>
  <c r="BG12" i="19"/>
  <c r="BI11" i="19"/>
  <c r="BH11" i="19"/>
  <c r="BG11" i="19"/>
  <c r="BI10" i="19"/>
  <c r="BH10" i="19"/>
  <c r="BG10" i="19"/>
  <c r="BI9" i="19"/>
  <c r="BH9" i="19"/>
  <c r="BG9" i="19"/>
  <c r="BI8" i="19"/>
  <c r="BH8" i="19"/>
  <c r="BG8" i="19"/>
  <c r="BI7" i="19"/>
  <c r="BH7" i="19"/>
  <c r="BG7" i="19"/>
  <c r="BI6" i="19"/>
  <c r="BH6" i="19"/>
  <c r="BG6" i="19"/>
  <c r="BI5" i="19"/>
  <c r="BH5" i="19"/>
  <c r="BG5" i="19"/>
  <c r="BI4" i="19"/>
  <c r="BH4" i="19"/>
  <c r="BG4" i="19"/>
  <c r="R38" i="24"/>
  <c r="S38" i="24" s="1"/>
  <c r="U38" i="24" s="1"/>
  <c r="Q38" i="24"/>
  <c r="P38" i="24"/>
  <c r="O38" i="24"/>
  <c r="N38" i="24"/>
  <c r="T38" i="24" s="1"/>
  <c r="R37" i="24"/>
  <c r="S37" i="24" s="1"/>
  <c r="U37" i="24" s="1"/>
  <c r="Q37" i="24"/>
  <c r="P37" i="24"/>
  <c r="O37" i="24"/>
  <c r="N37" i="24"/>
  <c r="R36" i="24"/>
  <c r="S36" i="24" s="1"/>
  <c r="U36" i="24" s="1"/>
  <c r="Q36" i="24"/>
  <c r="P36" i="24"/>
  <c r="O36" i="24"/>
  <c r="N36" i="24"/>
  <c r="R35" i="24"/>
  <c r="S35" i="24" s="1"/>
  <c r="U35" i="24" s="1"/>
  <c r="Q35" i="24"/>
  <c r="P35" i="24"/>
  <c r="O35" i="24"/>
  <c r="N35" i="24"/>
  <c r="R34" i="24"/>
  <c r="S34" i="24" s="1"/>
  <c r="U34" i="24" s="1"/>
  <c r="Q34" i="24"/>
  <c r="P34" i="24"/>
  <c r="O34" i="24"/>
  <c r="N34" i="24"/>
  <c r="R33" i="24"/>
  <c r="S33" i="24" s="1"/>
  <c r="U33" i="24" s="1"/>
  <c r="Q33" i="24"/>
  <c r="P33" i="24"/>
  <c r="O33" i="24"/>
  <c r="N33" i="24"/>
  <c r="T33" i="24" s="1"/>
  <c r="R32" i="24"/>
  <c r="S32" i="24" s="1"/>
  <c r="U32" i="24" s="1"/>
  <c r="Q32" i="24"/>
  <c r="P32" i="24"/>
  <c r="O32" i="24"/>
  <c r="N32" i="24"/>
  <c r="R31" i="24"/>
  <c r="S31" i="24" s="1"/>
  <c r="U31" i="24" s="1"/>
  <c r="Q31" i="24"/>
  <c r="P31" i="24"/>
  <c r="O31" i="24"/>
  <c r="N31" i="24"/>
  <c r="R30" i="24"/>
  <c r="S30" i="24" s="1"/>
  <c r="U30" i="24" s="1"/>
  <c r="Q30" i="24"/>
  <c r="P30" i="24"/>
  <c r="O30" i="24"/>
  <c r="N30" i="24"/>
  <c r="R29" i="24"/>
  <c r="S29" i="24" s="1"/>
  <c r="U29" i="24" s="1"/>
  <c r="Q29" i="24"/>
  <c r="P29" i="24"/>
  <c r="O29" i="24"/>
  <c r="N29" i="24"/>
  <c r="R28" i="24"/>
  <c r="S28" i="24" s="1"/>
  <c r="U28" i="24" s="1"/>
  <c r="Q28" i="24"/>
  <c r="P28" i="24"/>
  <c r="O28" i="24"/>
  <c r="N28" i="24"/>
  <c r="R27" i="24"/>
  <c r="S27" i="24" s="1"/>
  <c r="U27" i="24" s="1"/>
  <c r="Q27" i="24"/>
  <c r="P27" i="24"/>
  <c r="O27" i="24"/>
  <c r="N27" i="24"/>
  <c r="R26" i="24"/>
  <c r="S26" i="24" s="1"/>
  <c r="U26" i="24" s="1"/>
  <c r="Q26" i="24"/>
  <c r="P26" i="24"/>
  <c r="O26" i="24"/>
  <c r="N26" i="24"/>
  <c r="R25" i="24"/>
  <c r="S25" i="24" s="1"/>
  <c r="U25" i="24" s="1"/>
  <c r="Q25" i="24"/>
  <c r="P25" i="24"/>
  <c r="O25" i="24"/>
  <c r="N25" i="24"/>
  <c r="R24" i="24"/>
  <c r="S24" i="24" s="1"/>
  <c r="U24" i="24" s="1"/>
  <c r="Q24" i="24"/>
  <c r="P24" i="24"/>
  <c r="O24" i="24"/>
  <c r="N24" i="24"/>
  <c r="R23" i="24"/>
  <c r="S23" i="24" s="1"/>
  <c r="U23" i="24" s="1"/>
  <c r="Q23" i="24"/>
  <c r="P23" i="24"/>
  <c r="O23" i="24"/>
  <c r="N23" i="24"/>
  <c r="R22" i="24"/>
  <c r="S22" i="24" s="1"/>
  <c r="U22" i="24" s="1"/>
  <c r="Q22" i="24"/>
  <c r="P22" i="24"/>
  <c r="O22" i="24"/>
  <c r="N22" i="24"/>
  <c r="R21" i="24"/>
  <c r="S21" i="24" s="1"/>
  <c r="U21" i="24" s="1"/>
  <c r="Q21" i="24"/>
  <c r="P21" i="24"/>
  <c r="O21" i="24"/>
  <c r="N21" i="24"/>
  <c r="R20" i="24"/>
  <c r="S20" i="24" s="1"/>
  <c r="U20" i="24" s="1"/>
  <c r="Q20" i="24"/>
  <c r="P20" i="24"/>
  <c r="O20" i="24"/>
  <c r="N20" i="24"/>
  <c r="R19" i="24"/>
  <c r="S19" i="24" s="1"/>
  <c r="U19" i="24" s="1"/>
  <c r="Q19" i="24"/>
  <c r="P19" i="24"/>
  <c r="O19" i="24"/>
  <c r="N19" i="24"/>
  <c r="R18" i="24"/>
  <c r="S18" i="24" s="1"/>
  <c r="U18" i="24" s="1"/>
  <c r="Q18" i="24"/>
  <c r="P18" i="24"/>
  <c r="O18" i="24"/>
  <c r="N18" i="24"/>
  <c r="R17" i="24"/>
  <c r="S17" i="24" s="1"/>
  <c r="U17" i="24" s="1"/>
  <c r="Q17" i="24"/>
  <c r="T17" i="24" s="1"/>
  <c r="P17" i="24"/>
  <c r="O17" i="24"/>
  <c r="N17" i="24"/>
  <c r="R16" i="24"/>
  <c r="S16" i="24" s="1"/>
  <c r="U16" i="24" s="1"/>
  <c r="Q16" i="24"/>
  <c r="P16" i="24"/>
  <c r="O16" i="24"/>
  <c r="N16" i="24"/>
  <c r="R15" i="24"/>
  <c r="S15" i="24" s="1"/>
  <c r="U15" i="24" s="1"/>
  <c r="Q15" i="24"/>
  <c r="P15" i="24"/>
  <c r="O15" i="24"/>
  <c r="N15" i="24"/>
  <c r="R14" i="24"/>
  <c r="S14" i="24" s="1"/>
  <c r="U14" i="24" s="1"/>
  <c r="Q14" i="24"/>
  <c r="P14" i="24"/>
  <c r="O14" i="24"/>
  <c r="N14" i="24"/>
  <c r="R13" i="24"/>
  <c r="S13" i="24" s="1"/>
  <c r="U13" i="24" s="1"/>
  <c r="Q13" i="24"/>
  <c r="P13" i="24"/>
  <c r="O13" i="24"/>
  <c r="N13" i="24"/>
  <c r="R12" i="24"/>
  <c r="S12" i="24" s="1"/>
  <c r="U12" i="24" s="1"/>
  <c r="Q12" i="24"/>
  <c r="P12" i="24"/>
  <c r="O12" i="24"/>
  <c r="N12" i="24"/>
  <c r="R11" i="24"/>
  <c r="S11" i="24" s="1"/>
  <c r="U11" i="24" s="1"/>
  <c r="Q11" i="24"/>
  <c r="P11" i="24"/>
  <c r="O11" i="24"/>
  <c r="N11" i="24"/>
  <c r="R10" i="24"/>
  <c r="S10" i="24" s="1"/>
  <c r="U10" i="24" s="1"/>
  <c r="Q10" i="24"/>
  <c r="P10" i="24"/>
  <c r="O10" i="24"/>
  <c r="N10" i="24"/>
  <c r="R9" i="24"/>
  <c r="S9" i="24" s="1"/>
  <c r="U9" i="24" s="1"/>
  <c r="Q9" i="24"/>
  <c r="P9" i="24"/>
  <c r="O9" i="24"/>
  <c r="N9" i="24"/>
  <c r="T9" i="24" s="1"/>
  <c r="V9" i="24" s="1"/>
  <c r="X9" i="24" s="1"/>
  <c r="Y9" i="24" s="1"/>
  <c r="BA9" i="19" s="1"/>
  <c r="R8" i="24"/>
  <c r="S8" i="24" s="1"/>
  <c r="U8" i="24" s="1"/>
  <c r="Q8" i="24"/>
  <c r="P8" i="24"/>
  <c r="O8" i="24"/>
  <c r="N8" i="24"/>
  <c r="R7" i="24"/>
  <c r="S7" i="24" s="1"/>
  <c r="U7" i="24" s="1"/>
  <c r="Q7" i="24"/>
  <c r="P7" i="24"/>
  <c r="O7" i="24"/>
  <c r="N7" i="24"/>
  <c r="R6" i="24"/>
  <c r="S6" i="24" s="1"/>
  <c r="U6" i="24" s="1"/>
  <c r="Q6" i="24"/>
  <c r="P6" i="24"/>
  <c r="O6" i="24"/>
  <c r="N6" i="24"/>
  <c r="T6" i="24" s="1"/>
  <c r="R5" i="24"/>
  <c r="S5" i="24" s="1"/>
  <c r="U5" i="24" s="1"/>
  <c r="Q5" i="24"/>
  <c r="P5" i="24"/>
  <c r="O5" i="24"/>
  <c r="N5" i="24"/>
  <c r="R4" i="24"/>
  <c r="S4" i="24" s="1"/>
  <c r="U4" i="24" s="1"/>
  <c r="Q4" i="24"/>
  <c r="P4" i="24"/>
  <c r="T4" i="24" s="1"/>
  <c r="O4" i="24"/>
  <c r="N4" i="24"/>
  <c r="B38" i="20"/>
  <c r="A38" i="20"/>
  <c r="B37" i="20"/>
  <c r="A37" i="20"/>
  <c r="B36" i="20"/>
  <c r="A36" i="20"/>
  <c r="B35" i="20"/>
  <c r="A35" i="20"/>
  <c r="B34" i="20"/>
  <c r="A34" i="20"/>
  <c r="B33" i="20"/>
  <c r="A33" i="20"/>
  <c r="B32" i="20"/>
  <c r="A32" i="20"/>
  <c r="B31" i="20"/>
  <c r="A31" i="20"/>
  <c r="B30" i="20"/>
  <c r="A30" i="20"/>
  <c r="B29" i="20"/>
  <c r="A29" i="20"/>
  <c r="B28" i="20"/>
  <c r="A28" i="20"/>
  <c r="B27" i="20"/>
  <c r="A27" i="20"/>
  <c r="B26" i="20"/>
  <c r="A26" i="20"/>
  <c r="B25" i="20"/>
  <c r="A25" i="20"/>
  <c r="B24" i="20"/>
  <c r="A24" i="20"/>
  <c r="B23" i="20"/>
  <c r="A23" i="20"/>
  <c r="B22" i="20"/>
  <c r="A22" i="20"/>
  <c r="B21" i="20"/>
  <c r="A21" i="20"/>
  <c r="B20" i="20"/>
  <c r="A20" i="20"/>
  <c r="B19" i="20"/>
  <c r="A19" i="20"/>
  <c r="AW38" i="19"/>
  <c r="D38" i="20" s="1"/>
  <c r="AW37" i="19"/>
  <c r="D37" i="20" s="1"/>
  <c r="AW36" i="19"/>
  <c r="D36" i="20" s="1"/>
  <c r="AW35" i="19"/>
  <c r="D35" i="20" s="1"/>
  <c r="AW34" i="19"/>
  <c r="D34" i="20" s="1"/>
  <c r="AW33" i="19"/>
  <c r="D33" i="20" s="1"/>
  <c r="AW32" i="19"/>
  <c r="D32" i="20" s="1"/>
  <c r="AW31" i="19"/>
  <c r="D31" i="20" s="1"/>
  <c r="AW30" i="19"/>
  <c r="D30" i="20" s="1"/>
  <c r="AW29" i="19"/>
  <c r="D29" i="20" s="1"/>
  <c r="AL38" i="19"/>
  <c r="AK38" i="19"/>
  <c r="AJ38" i="19"/>
  <c r="AI38" i="19"/>
  <c r="AH38" i="19"/>
  <c r="AG38" i="19"/>
  <c r="AF38" i="19"/>
  <c r="AE38" i="19"/>
  <c r="AD38" i="19"/>
  <c r="AC38" i="19"/>
  <c r="AB38" i="19"/>
  <c r="AA38" i="19"/>
  <c r="Z38" i="19"/>
  <c r="Y38" i="19"/>
  <c r="X38" i="19"/>
  <c r="W38" i="19"/>
  <c r="V38" i="19"/>
  <c r="U38" i="19"/>
  <c r="AL37" i="19"/>
  <c r="AK37" i="19"/>
  <c r="AJ37" i="19"/>
  <c r="AI37" i="19"/>
  <c r="AH37" i="19"/>
  <c r="AG37" i="19"/>
  <c r="AF37" i="19"/>
  <c r="AE37" i="19"/>
  <c r="AD37" i="19"/>
  <c r="AC37" i="19"/>
  <c r="AB37" i="19"/>
  <c r="AA37" i="19"/>
  <c r="Z37" i="19"/>
  <c r="Y37" i="19"/>
  <c r="X37" i="19"/>
  <c r="W37" i="19"/>
  <c r="V37" i="19"/>
  <c r="U37" i="19"/>
  <c r="AL36" i="19"/>
  <c r="AK36" i="19"/>
  <c r="AJ36" i="19"/>
  <c r="AI36" i="19"/>
  <c r="AH36" i="19"/>
  <c r="AG36" i="19"/>
  <c r="AF36" i="19"/>
  <c r="AE36" i="19"/>
  <c r="AD36" i="19"/>
  <c r="AC36" i="19"/>
  <c r="AB36" i="19"/>
  <c r="AA36" i="19"/>
  <c r="Z36" i="19"/>
  <c r="Y36" i="19"/>
  <c r="X36" i="19"/>
  <c r="W36" i="19"/>
  <c r="V36" i="19"/>
  <c r="U36" i="19"/>
  <c r="AL35" i="19"/>
  <c r="AK35" i="19"/>
  <c r="AJ35" i="19"/>
  <c r="AI35" i="19"/>
  <c r="AH35" i="19"/>
  <c r="AG35" i="19"/>
  <c r="AF35" i="19"/>
  <c r="AE35" i="19"/>
  <c r="AD35" i="19"/>
  <c r="AC35" i="19"/>
  <c r="AB35" i="19"/>
  <c r="AA35" i="19"/>
  <c r="Z35" i="19"/>
  <c r="Y35" i="19"/>
  <c r="X35" i="19"/>
  <c r="W35" i="19"/>
  <c r="V35" i="19"/>
  <c r="U35" i="19"/>
  <c r="AL34" i="19"/>
  <c r="AK34" i="19"/>
  <c r="AJ34" i="19"/>
  <c r="AI34" i="19"/>
  <c r="AH34" i="19"/>
  <c r="AG34" i="19"/>
  <c r="AF34" i="19"/>
  <c r="AE34" i="19"/>
  <c r="AD34" i="19"/>
  <c r="AC34" i="19"/>
  <c r="AB34" i="19"/>
  <c r="AA34" i="19"/>
  <c r="Z34" i="19"/>
  <c r="Y34" i="19"/>
  <c r="X34" i="19"/>
  <c r="W34" i="19"/>
  <c r="V34" i="19"/>
  <c r="U34" i="19"/>
  <c r="AL33" i="19"/>
  <c r="AK33" i="19"/>
  <c r="AJ33" i="19"/>
  <c r="AI33" i="19"/>
  <c r="AH33" i="19"/>
  <c r="AG33" i="19"/>
  <c r="AF33" i="19"/>
  <c r="AE33" i="19"/>
  <c r="AD33" i="19"/>
  <c r="AC33" i="19"/>
  <c r="AB33" i="19"/>
  <c r="AA33" i="19"/>
  <c r="Z33" i="19"/>
  <c r="Y33" i="19"/>
  <c r="X33" i="19"/>
  <c r="W33" i="19"/>
  <c r="V33" i="19"/>
  <c r="U33" i="19"/>
  <c r="AL32" i="19"/>
  <c r="AK32" i="19"/>
  <c r="AJ32" i="19"/>
  <c r="AI32" i="19"/>
  <c r="AH32" i="19"/>
  <c r="AG32" i="19"/>
  <c r="AF32" i="19"/>
  <c r="AE32" i="19"/>
  <c r="AD32" i="19"/>
  <c r="AC32" i="19"/>
  <c r="AB32" i="19"/>
  <c r="AA32" i="19"/>
  <c r="Z32" i="19"/>
  <c r="Y32" i="19"/>
  <c r="X32" i="19"/>
  <c r="W32" i="19"/>
  <c r="V32" i="19"/>
  <c r="U32" i="19"/>
  <c r="AL31" i="19"/>
  <c r="AK31" i="19"/>
  <c r="AJ31" i="19"/>
  <c r="AI31" i="19"/>
  <c r="AH31" i="19"/>
  <c r="AG31" i="19"/>
  <c r="AF31" i="19"/>
  <c r="AE31" i="19"/>
  <c r="AD31" i="19"/>
  <c r="AC31" i="19"/>
  <c r="AB31" i="19"/>
  <c r="AA31" i="19"/>
  <c r="Z31" i="19"/>
  <c r="Y31" i="19"/>
  <c r="X31" i="19"/>
  <c r="W31" i="19"/>
  <c r="V31" i="19"/>
  <c r="U31" i="19"/>
  <c r="AL30" i="19"/>
  <c r="AK30" i="19"/>
  <c r="AJ30" i="19"/>
  <c r="AI30" i="19"/>
  <c r="AH30" i="19"/>
  <c r="AG30" i="19"/>
  <c r="AF30" i="19"/>
  <c r="AE30" i="19"/>
  <c r="AD30" i="19"/>
  <c r="AC30" i="19"/>
  <c r="AB30" i="19"/>
  <c r="AA30" i="19"/>
  <c r="Z30" i="19"/>
  <c r="Y30" i="19"/>
  <c r="X30" i="19"/>
  <c r="W30" i="19"/>
  <c r="V30" i="19"/>
  <c r="U30" i="19"/>
  <c r="AL29" i="19"/>
  <c r="AK29" i="19"/>
  <c r="AJ29" i="19"/>
  <c r="AI29" i="19"/>
  <c r="AH29" i="19"/>
  <c r="AG29" i="19"/>
  <c r="AF29" i="19"/>
  <c r="AE29" i="19"/>
  <c r="AD29" i="19"/>
  <c r="AC29" i="19"/>
  <c r="AB29" i="19"/>
  <c r="AA29" i="19"/>
  <c r="Z29" i="19"/>
  <c r="Y29" i="19"/>
  <c r="X29" i="19"/>
  <c r="W29" i="19"/>
  <c r="V29" i="19"/>
  <c r="U29" i="19"/>
  <c r="AW28" i="19"/>
  <c r="D28" i="20" s="1"/>
  <c r="AW27" i="19"/>
  <c r="D27" i="20" s="1"/>
  <c r="AW26" i="19"/>
  <c r="D26" i="20" s="1"/>
  <c r="AW25" i="19"/>
  <c r="D25" i="20" s="1"/>
  <c r="AW24" i="19"/>
  <c r="D24" i="20" s="1"/>
  <c r="AW23" i="19"/>
  <c r="D23" i="20" s="1"/>
  <c r="AW22" i="19"/>
  <c r="D22" i="20" s="1"/>
  <c r="AW21" i="19"/>
  <c r="D21" i="20" s="1"/>
  <c r="AW20" i="19"/>
  <c r="D20" i="20" s="1"/>
  <c r="AW19" i="19"/>
  <c r="D19" i="20" s="1"/>
  <c r="AL28" i="19"/>
  <c r="AK28" i="19"/>
  <c r="AJ28" i="19"/>
  <c r="AI28" i="19"/>
  <c r="AH28" i="19"/>
  <c r="AG28" i="19"/>
  <c r="AF28" i="19"/>
  <c r="AE28" i="19"/>
  <c r="AD28" i="19"/>
  <c r="AC28" i="19"/>
  <c r="AB28" i="19"/>
  <c r="AA28" i="19"/>
  <c r="Z28" i="19"/>
  <c r="Y28" i="19"/>
  <c r="X28" i="19"/>
  <c r="W28" i="19"/>
  <c r="V28" i="19"/>
  <c r="U28" i="19"/>
  <c r="AL27" i="19"/>
  <c r="AK27" i="19"/>
  <c r="AJ27" i="19"/>
  <c r="AI27" i="19"/>
  <c r="AH27" i="19"/>
  <c r="AG27" i="19"/>
  <c r="AF27" i="19"/>
  <c r="AE27" i="19"/>
  <c r="AD27" i="19"/>
  <c r="AC27" i="19"/>
  <c r="AB27" i="19"/>
  <c r="AA27" i="19"/>
  <c r="Z27" i="19"/>
  <c r="Y27" i="19"/>
  <c r="X27" i="19"/>
  <c r="W27" i="19"/>
  <c r="V27" i="19"/>
  <c r="U27" i="19"/>
  <c r="AL26" i="19"/>
  <c r="AK26" i="19"/>
  <c r="AJ26" i="19"/>
  <c r="AI26" i="19"/>
  <c r="AH26" i="19"/>
  <c r="AG26" i="19"/>
  <c r="AF26" i="19"/>
  <c r="AE26" i="19"/>
  <c r="AD26" i="19"/>
  <c r="AC26" i="19"/>
  <c r="AB26" i="19"/>
  <c r="AA26" i="19"/>
  <c r="Z26" i="19"/>
  <c r="Y26" i="19"/>
  <c r="X26" i="19"/>
  <c r="W26" i="19"/>
  <c r="V26" i="19"/>
  <c r="U26" i="19"/>
  <c r="AL25" i="19"/>
  <c r="AK25" i="19"/>
  <c r="AJ25" i="19"/>
  <c r="AI25" i="19"/>
  <c r="AH25" i="19"/>
  <c r="AG25" i="19"/>
  <c r="AF25" i="19"/>
  <c r="AE25" i="19"/>
  <c r="AD25" i="19"/>
  <c r="AC25" i="19"/>
  <c r="AB25" i="19"/>
  <c r="AA25" i="19"/>
  <c r="Z25" i="19"/>
  <c r="Y25" i="19"/>
  <c r="X25" i="19"/>
  <c r="W25" i="19"/>
  <c r="V25" i="19"/>
  <c r="U25" i="19"/>
  <c r="AL24" i="19"/>
  <c r="AK24" i="19"/>
  <c r="AJ24" i="19"/>
  <c r="AI24" i="19"/>
  <c r="AH24" i="19"/>
  <c r="AG24" i="19"/>
  <c r="AF24" i="19"/>
  <c r="AE24" i="19"/>
  <c r="AD24" i="19"/>
  <c r="AC24" i="19"/>
  <c r="AB24" i="19"/>
  <c r="AA24" i="19"/>
  <c r="Z24" i="19"/>
  <c r="Y24" i="19"/>
  <c r="X24" i="19"/>
  <c r="W24" i="19"/>
  <c r="V24" i="19"/>
  <c r="U24" i="19"/>
  <c r="AL23" i="19"/>
  <c r="AK23" i="19"/>
  <c r="AJ23" i="19"/>
  <c r="AI23" i="19"/>
  <c r="AH23" i="19"/>
  <c r="AG23" i="19"/>
  <c r="AF23" i="19"/>
  <c r="AE23" i="19"/>
  <c r="AD23" i="19"/>
  <c r="AC23" i="19"/>
  <c r="AB23" i="19"/>
  <c r="AA23" i="19"/>
  <c r="Z23" i="19"/>
  <c r="Y23" i="19"/>
  <c r="X23" i="19"/>
  <c r="W23" i="19"/>
  <c r="V23" i="19"/>
  <c r="U23" i="19"/>
  <c r="AL22" i="19"/>
  <c r="AK22" i="19"/>
  <c r="AJ22" i="19"/>
  <c r="AI22" i="19"/>
  <c r="AH22" i="19"/>
  <c r="AG22" i="19"/>
  <c r="AF22" i="19"/>
  <c r="AE22" i="19"/>
  <c r="AD22" i="19"/>
  <c r="AC22" i="19"/>
  <c r="AB22" i="19"/>
  <c r="AA22" i="19"/>
  <c r="Z22" i="19"/>
  <c r="Y22" i="19"/>
  <c r="X22" i="19"/>
  <c r="W22" i="19"/>
  <c r="V22" i="19"/>
  <c r="U22" i="19"/>
  <c r="AL21" i="19"/>
  <c r="AK21" i="19"/>
  <c r="AJ21" i="19"/>
  <c r="AI21" i="19"/>
  <c r="AH21" i="19"/>
  <c r="AG21" i="19"/>
  <c r="AF21" i="19"/>
  <c r="AE21" i="19"/>
  <c r="AD21" i="19"/>
  <c r="AC21" i="19"/>
  <c r="AB21" i="19"/>
  <c r="AA21" i="19"/>
  <c r="Z21" i="19"/>
  <c r="Y21" i="19"/>
  <c r="X21" i="19"/>
  <c r="W21" i="19"/>
  <c r="V21" i="19"/>
  <c r="U21" i="19"/>
  <c r="AL20" i="19"/>
  <c r="AK20" i="19"/>
  <c r="AJ20" i="19"/>
  <c r="AI20" i="19"/>
  <c r="AH20" i="19"/>
  <c r="AG20" i="19"/>
  <c r="AF20" i="19"/>
  <c r="AE20" i="19"/>
  <c r="AD20" i="19"/>
  <c r="AC20" i="19"/>
  <c r="AB20" i="19"/>
  <c r="AA20" i="19"/>
  <c r="Z20" i="19"/>
  <c r="Y20" i="19"/>
  <c r="X20" i="19"/>
  <c r="W20" i="19"/>
  <c r="V20" i="19"/>
  <c r="U20" i="19"/>
  <c r="AL19" i="19"/>
  <c r="AK19" i="19"/>
  <c r="AJ19" i="19"/>
  <c r="AI19" i="19"/>
  <c r="AH19" i="19"/>
  <c r="AG19" i="19"/>
  <c r="AF19" i="19"/>
  <c r="AE19" i="19"/>
  <c r="AD19" i="19"/>
  <c r="AC19" i="19"/>
  <c r="AB19" i="19"/>
  <c r="AA19" i="19"/>
  <c r="Z19" i="19"/>
  <c r="Y19" i="19"/>
  <c r="X19" i="19"/>
  <c r="W19" i="19"/>
  <c r="V19" i="19"/>
  <c r="U19" i="19"/>
  <c r="BB16" i="19"/>
  <c r="F16" i="20" s="1"/>
  <c r="G16" i="20" s="1"/>
  <c r="H16" i="20" s="1"/>
  <c r="BB15" i="19"/>
  <c r="F15" i="20" s="1"/>
  <c r="G15" i="20" s="1"/>
  <c r="H15" i="20" s="1"/>
  <c r="BB14" i="19"/>
  <c r="F14" i="20" s="1"/>
  <c r="G14" i="20" s="1"/>
  <c r="H14" i="20" s="1"/>
  <c r="J14" i="20" s="1"/>
  <c r="BB13" i="19"/>
  <c r="F13" i="20" s="1"/>
  <c r="G13" i="20" s="1"/>
  <c r="H13" i="20" s="1"/>
  <c r="I13" i="20" s="1"/>
  <c r="E18" i="23" s="1"/>
  <c r="BB12" i="19"/>
  <c r="F12" i="20" s="1"/>
  <c r="G12" i="20" s="1"/>
  <c r="H12" i="20" s="1"/>
  <c r="BB11" i="19"/>
  <c r="F11" i="20" s="1"/>
  <c r="G11" i="20" s="1"/>
  <c r="H11" i="20" s="1"/>
  <c r="BB10" i="19"/>
  <c r="F10" i="20" s="1"/>
  <c r="G10" i="20" s="1"/>
  <c r="H10" i="20" s="1"/>
  <c r="BB9" i="19"/>
  <c r="F9" i="20" s="1"/>
  <c r="G9" i="20" s="1"/>
  <c r="H9" i="20" s="1"/>
  <c r="BB8" i="19"/>
  <c r="F8" i="20" s="1"/>
  <c r="G8" i="20" s="1"/>
  <c r="H8" i="20" s="1"/>
  <c r="BB7" i="19"/>
  <c r="F7" i="20" s="1"/>
  <c r="G7" i="20" s="1"/>
  <c r="H7" i="20" s="1"/>
  <c r="BB6" i="19"/>
  <c r="F6" i="20" s="1"/>
  <c r="G6" i="20" s="1"/>
  <c r="H6" i="20" s="1"/>
  <c r="BB5" i="19"/>
  <c r="F5" i="20" s="1"/>
  <c r="G5" i="20" s="1"/>
  <c r="H5" i="20" s="1"/>
  <c r="BB4" i="19"/>
  <c r="F4" i="20" s="1"/>
  <c r="G4" i="20" s="1"/>
  <c r="H4" i="20" s="1"/>
  <c r="I4" i="20" s="1"/>
  <c r="E9" i="23" s="1"/>
  <c r="B18" i="20"/>
  <c r="A18" i="20"/>
  <c r="B17" i="20"/>
  <c r="A17" i="20"/>
  <c r="B16" i="20"/>
  <c r="A16" i="20"/>
  <c r="B15" i="20"/>
  <c r="A15" i="20"/>
  <c r="B14" i="20"/>
  <c r="A14" i="20"/>
  <c r="B13" i="20"/>
  <c r="A13" i="20"/>
  <c r="B12" i="20"/>
  <c r="A12" i="20"/>
  <c r="B11" i="20"/>
  <c r="A11" i="20"/>
  <c r="B10" i="20"/>
  <c r="A10" i="20"/>
  <c r="B9" i="20"/>
  <c r="A9" i="20"/>
  <c r="B8" i="20"/>
  <c r="A8" i="20"/>
  <c r="B7" i="20"/>
  <c r="A7" i="20"/>
  <c r="B6" i="20"/>
  <c r="A6" i="20"/>
  <c r="B5" i="20"/>
  <c r="A5" i="20"/>
  <c r="B4" i="20"/>
  <c r="A4" i="20"/>
  <c r="AW18" i="19"/>
  <c r="D18" i="20" s="1"/>
  <c r="AW17" i="19"/>
  <c r="D17" i="20" s="1"/>
  <c r="AW16" i="19"/>
  <c r="D16" i="20" s="1"/>
  <c r="AW15" i="19"/>
  <c r="D15" i="20" s="1"/>
  <c r="AW14" i="19"/>
  <c r="D14" i="20" s="1"/>
  <c r="AW13" i="19"/>
  <c r="D13" i="20" s="1"/>
  <c r="AW12" i="19"/>
  <c r="D12" i="20" s="1"/>
  <c r="AW11" i="19"/>
  <c r="D11" i="20" s="1"/>
  <c r="AW10" i="19"/>
  <c r="D10" i="20" s="1"/>
  <c r="AW9" i="19"/>
  <c r="D9" i="20" s="1"/>
  <c r="AW8" i="19"/>
  <c r="D8" i="20" s="1"/>
  <c r="AW7" i="19"/>
  <c r="D7" i="20" s="1"/>
  <c r="AW6" i="19"/>
  <c r="D6" i="20" s="1"/>
  <c r="AW5" i="19"/>
  <c r="D5" i="20" s="1"/>
  <c r="AW4" i="19"/>
  <c r="D4" i="20" s="1"/>
  <c r="AL18" i="19"/>
  <c r="AK18" i="19"/>
  <c r="AJ18" i="19"/>
  <c r="AI18" i="19"/>
  <c r="AH18" i="19"/>
  <c r="AG18" i="19"/>
  <c r="AF18" i="19"/>
  <c r="AE18" i="19"/>
  <c r="AD18" i="19"/>
  <c r="AC18" i="19"/>
  <c r="AB18" i="19"/>
  <c r="AA18" i="19"/>
  <c r="Z18" i="19"/>
  <c r="Y18" i="19"/>
  <c r="X18" i="19"/>
  <c r="W18" i="19"/>
  <c r="V18" i="19"/>
  <c r="U18" i="19"/>
  <c r="AL17" i="19"/>
  <c r="AK17" i="19"/>
  <c r="AJ17" i="19"/>
  <c r="AI17" i="19"/>
  <c r="AH17" i="19"/>
  <c r="AG17" i="19"/>
  <c r="AF17" i="19"/>
  <c r="AE17" i="19"/>
  <c r="AD17" i="19"/>
  <c r="AC17" i="19"/>
  <c r="AB17" i="19"/>
  <c r="AA17" i="19"/>
  <c r="Z17" i="19"/>
  <c r="Y17" i="19"/>
  <c r="X17" i="19"/>
  <c r="W17" i="19"/>
  <c r="V17" i="19"/>
  <c r="U17" i="19"/>
  <c r="AL16" i="19"/>
  <c r="AK16" i="19"/>
  <c r="AJ16" i="19"/>
  <c r="AI16" i="19"/>
  <c r="AH16" i="19"/>
  <c r="AG16" i="19"/>
  <c r="AF16" i="19"/>
  <c r="AE16" i="19"/>
  <c r="AD16" i="19"/>
  <c r="AC16" i="19"/>
  <c r="AB16" i="19"/>
  <c r="AA16" i="19"/>
  <c r="Z16" i="19"/>
  <c r="Y16" i="19"/>
  <c r="X16" i="19"/>
  <c r="W16" i="19"/>
  <c r="V16" i="19"/>
  <c r="U16" i="19"/>
  <c r="AL15" i="19"/>
  <c r="AK15" i="19"/>
  <c r="AJ15" i="19"/>
  <c r="AI15" i="19"/>
  <c r="AH15" i="19"/>
  <c r="AG15" i="19"/>
  <c r="AF15" i="19"/>
  <c r="AE15" i="19"/>
  <c r="AD15" i="19"/>
  <c r="AC15" i="19"/>
  <c r="AB15" i="19"/>
  <c r="AA15" i="19"/>
  <c r="Z15" i="19"/>
  <c r="Y15" i="19"/>
  <c r="X15" i="19"/>
  <c r="W15" i="19"/>
  <c r="V15" i="19"/>
  <c r="U15" i="19"/>
  <c r="AL14" i="19"/>
  <c r="AK14" i="19"/>
  <c r="AJ14" i="19"/>
  <c r="AI14" i="19"/>
  <c r="AH14" i="19"/>
  <c r="AG14" i="19"/>
  <c r="AF14" i="19"/>
  <c r="AE14" i="19"/>
  <c r="AD14" i="19"/>
  <c r="AC14" i="19"/>
  <c r="AB14" i="19"/>
  <c r="AA14" i="19"/>
  <c r="Z14" i="19"/>
  <c r="Y14" i="19"/>
  <c r="X14" i="19"/>
  <c r="W14" i="19"/>
  <c r="V14" i="19"/>
  <c r="U14" i="19"/>
  <c r="AL13" i="19"/>
  <c r="AK13" i="19"/>
  <c r="AJ13" i="19"/>
  <c r="AI13" i="19"/>
  <c r="AH13" i="19"/>
  <c r="AG13" i="19"/>
  <c r="AF13" i="19"/>
  <c r="AE13" i="19"/>
  <c r="AD13" i="19"/>
  <c r="AC13" i="19"/>
  <c r="AB13" i="19"/>
  <c r="AA13" i="19"/>
  <c r="Z13" i="19"/>
  <c r="Y13" i="19"/>
  <c r="X13" i="19"/>
  <c r="W13" i="19"/>
  <c r="V13" i="19"/>
  <c r="U13" i="19"/>
  <c r="AL12" i="19"/>
  <c r="AK12" i="19"/>
  <c r="AJ12" i="19"/>
  <c r="AI12" i="19"/>
  <c r="AH12" i="19"/>
  <c r="AG12" i="19"/>
  <c r="AF12" i="19"/>
  <c r="AE12" i="19"/>
  <c r="AD12" i="19"/>
  <c r="AC12" i="19"/>
  <c r="AB12" i="19"/>
  <c r="AA12" i="19"/>
  <c r="Z12" i="19"/>
  <c r="Y12" i="19"/>
  <c r="X12" i="19"/>
  <c r="W12" i="19"/>
  <c r="V12" i="19"/>
  <c r="U12" i="19"/>
  <c r="AL11" i="19"/>
  <c r="AK11" i="19"/>
  <c r="AJ11" i="19"/>
  <c r="AI11" i="19"/>
  <c r="AH11" i="19"/>
  <c r="AG11" i="19"/>
  <c r="AF11" i="19"/>
  <c r="AE11" i="19"/>
  <c r="AD11" i="19"/>
  <c r="AC11" i="19"/>
  <c r="AB11" i="19"/>
  <c r="AA11" i="19"/>
  <c r="Z11" i="19"/>
  <c r="Y11" i="19"/>
  <c r="X11" i="19"/>
  <c r="W11" i="19"/>
  <c r="V11" i="19"/>
  <c r="U11" i="19"/>
  <c r="AL10" i="19"/>
  <c r="AK10" i="19"/>
  <c r="AJ10" i="19"/>
  <c r="AI10" i="19"/>
  <c r="AH10" i="19"/>
  <c r="AG10" i="19"/>
  <c r="AF10" i="19"/>
  <c r="AE10" i="19"/>
  <c r="AD10" i="19"/>
  <c r="AC10" i="19"/>
  <c r="AB10" i="19"/>
  <c r="AA10" i="19"/>
  <c r="Z10" i="19"/>
  <c r="Y10" i="19"/>
  <c r="X10" i="19"/>
  <c r="W10" i="19"/>
  <c r="V10" i="19"/>
  <c r="U10" i="19"/>
  <c r="AL9" i="19"/>
  <c r="AK9" i="19"/>
  <c r="AJ9" i="19"/>
  <c r="AI9" i="19"/>
  <c r="AH9" i="19"/>
  <c r="AG9" i="19"/>
  <c r="AF9" i="19"/>
  <c r="AE9" i="19"/>
  <c r="AD9" i="19"/>
  <c r="AC9" i="19"/>
  <c r="AB9" i="19"/>
  <c r="AA9" i="19"/>
  <c r="Z9" i="19"/>
  <c r="Y9" i="19"/>
  <c r="X9" i="19"/>
  <c r="W9" i="19"/>
  <c r="V9" i="19"/>
  <c r="U9" i="19"/>
  <c r="AT110" i="19"/>
  <c r="AS110" i="19"/>
  <c r="AR110" i="19"/>
  <c r="AQ110" i="19"/>
  <c r="AP110" i="19"/>
  <c r="AO110" i="19"/>
  <c r="AN110" i="19"/>
  <c r="AM110" i="19"/>
  <c r="AL110" i="19"/>
  <c r="AK110" i="19"/>
  <c r="AJ110" i="19"/>
  <c r="AI110" i="19"/>
  <c r="AH110" i="19"/>
  <c r="AG110" i="19"/>
  <c r="AF110" i="19"/>
  <c r="AE110" i="19"/>
  <c r="AD110" i="19"/>
  <c r="AC110" i="19"/>
  <c r="AB110" i="19"/>
  <c r="AA110" i="19"/>
  <c r="Z110" i="19"/>
  <c r="Y110" i="19"/>
  <c r="X110" i="19"/>
  <c r="W110" i="19"/>
  <c r="V110" i="19"/>
  <c r="AT109" i="19"/>
  <c r="AS109" i="19"/>
  <c r="AR109" i="19"/>
  <c r="AQ109" i="19"/>
  <c r="AP109" i="19"/>
  <c r="AO109" i="19"/>
  <c r="AN109" i="19"/>
  <c r="AM109" i="19"/>
  <c r="AL109" i="19"/>
  <c r="AK109" i="19"/>
  <c r="AJ109" i="19"/>
  <c r="AI109" i="19"/>
  <c r="AH109" i="19"/>
  <c r="AG109" i="19"/>
  <c r="AF109" i="19"/>
  <c r="AE109" i="19"/>
  <c r="AD109" i="19"/>
  <c r="AC109" i="19"/>
  <c r="AB109" i="19"/>
  <c r="AA109" i="19"/>
  <c r="Z109" i="19"/>
  <c r="Y109" i="19"/>
  <c r="X109" i="19"/>
  <c r="W109" i="19"/>
  <c r="V109" i="19"/>
  <c r="AT108" i="19"/>
  <c r="AS108" i="19"/>
  <c r="AR108" i="19"/>
  <c r="AQ108" i="19"/>
  <c r="AP108" i="19"/>
  <c r="AO108" i="19"/>
  <c r="AN108" i="19"/>
  <c r="AM108" i="19"/>
  <c r="AL108" i="19"/>
  <c r="AK108" i="19"/>
  <c r="AJ108" i="19"/>
  <c r="AI108" i="19"/>
  <c r="AH108" i="19"/>
  <c r="AG108" i="19"/>
  <c r="AF108" i="19"/>
  <c r="AE108" i="19"/>
  <c r="AD108" i="19"/>
  <c r="AC108" i="19"/>
  <c r="AB108" i="19"/>
  <c r="AA108" i="19"/>
  <c r="Z108" i="19"/>
  <c r="Y108" i="19"/>
  <c r="X108" i="19"/>
  <c r="W108" i="19"/>
  <c r="V108" i="19"/>
  <c r="AT107" i="19"/>
  <c r="AS107" i="19"/>
  <c r="AR107" i="19"/>
  <c r="AQ107" i="19"/>
  <c r="AP107" i="19"/>
  <c r="AO107" i="19"/>
  <c r="AN107" i="19"/>
  <c r="AM107" i="19"/>
  <c r="AL107" i="19"/>
  <c r="AK107" i="19"/>
  <c r="AJ107" i="19"/>
  <c r="AI107" i="19"/>
  <c r="AH107" i="19"/>
  <c r="AG107" i="19"/>
  <c r="AF107" i="19"/>
  <c r="AE107" i="19"/>
  <c r="AD107" i="19"/>
  <c r="AC107" i="19"/>
  <c r="AB107" i="19"/>
  <c r="AA107" i="19"/>
  <c r="Z107" i="19"/>
  <c r="Y107" i="19"/>
  <c r="X107" i="19"/>
  <c r="W107" i="19"/>
  <c r="V107" i="19"/>
  <c r="AT106" i="19"/>
  <c r="AS106" i="19"/>
  <c r="AR106" i="19"/>
  <c r="AQ106" i="19"/>
  <c r="AP106" i="19"/>
  <c r="AO106" i="19"/>
  <c r="AN106" i="19"/>
  <c r="AM106" i="19"/>
  <c r="AL106" i="19"/>
  <c r="AK106" i="19"/>
  <c r="AJ106" i="19"/>
  <c r="AI106" i="19"/>
  <c r="AH106" i="19"/>
  <c r="AG106" i="19"/>
  <c r="AF106" i="19"/>
  <c r="AE106" i="19"/>
  <c r="AD106" i="19"/>
  <c r="AC106" i="19"/>
  <c r="AB106" i="19"/>
  <c r="AA106" i="19"/>
  <c r="Z106" i="19"/>
  <c r="Y106" i="19"/>
  <c r="X106" i="19"/>
  <c r="W106" i="19"/>
  <c r="V106" i="19"/>
  <c r="AT105" i="19"/>
  <c r="AS105" i="19"/>
  <c r="AR105" i="19"/>
  <c r="AQ105" i="19"/>
  <c r="AP105" i="19"/>
  <c r="AO105" i="19"/>
  <c r="AN105" i="19"/>
  <c r="AM105" i="19"/>
  <c r="AL105" i="19"/>
  <c r="AK105" i="19"/>
  <c r="AJ105" i="19"/>
  <c r="AI105" i="19"/>
  <c r="AH105" i="19"/>
  <c r="AG105" i="19"/>
  <c r="AF105" i="19"/>
  <c r="AE105" i="19"/>
  <c r="AD105" i="19"/>
  <c r="AC105" i="19"/>
  <c r="AB105" i="19"/>
  <c r="AA105" i="19"/>
  <c r="Z105" i="19"/>
  <c r="Y105" i="19"/>
  <c r="X105" i="19"/>
  <c r="W105" i="19"/>
  <c r="V105" i="19"/>
  <c r="AT104" i="19"/>
  <c r="AS104" i="19"/>
  <c r="AR104" i="19"/>
  <c r="AQ104" i="19"/>
  <c r="AP104" i="19"/>
  <c r="AO104" i="19"/>
  <c r="AN104" i="19"/>
  <c r="AM104" i="19"/>
  <c r="AL104" i="19"/>
  <c r="AK104" i="19"/>
  <c r="AJ104" i="19"/>
  <c r="AI104" i="19"/>
  <c r="AH104" i="19"/>
  <c r="AG104" i="19"/>
  <c r="AF104" i="19"/>
  <c r="AE104" i="19"/>
  <c r="AD104" i="19"/>
  <c r="AC104" i="19"/>
  <c r="AB104" i="19"/>
  <c r="AA104" i="19"/>
  <c r="Z104" i="19"/>
  <c r="Y104" i="19"/>
  <c r="X104" i="19"/>
  <c r="W104" i="19"/>
  <c r="V104" i="19"/>
  <c r="AT103" i="19"/>
  <c r="AS103" i="19"/>
  <c r="AR103" i="19"/>
  <c r="AQ103" i="19"/>
  <c r="AP103" i="19"/>
  <c r="AO103" i="19"/>
  <c r="AN103" i="19"/>
  <c r="AM103" i="19"/>
  <c r="AL103" i="19"/>
  <c r="AK103" i="19"/>
  <c r="AJ103" i="19"/>
  <c r="AI103" i="19"/>
  <c r="AH103" i="19"/>
  <c r="AG103" i="19"/>
  <c r="AF103" i="19"/>
  <c r="AE103" i="19"/>
  <c r="AD103" i="19"/>
  <c r="AC103" i="19"/>
  <c r="AB103" i="19"/>
  <c r="AA103" i="19"/>
  <c r="Z103" i="19"/>
  <c r="Y103" i="19"/>
  <c r="X103" i="19"/>
  <c r="W103" i="19"/>
  <c r="V103" i="19"/>
  <c r="AT102" i="19"/>
  <c r="AS102" i="19"/>
  <c r="AR102" i="19"/>
  <c r="AQ102" i="19"/>
  <c r="AP102" i="19"/>
  <c r="AO102" i="19"/>
  <c r="AN102" i="19"/>
  <c r="AM102" i="19"/>
  <c r="AL102" i="19"/>
  <c r="AK102" i="19"/>
  <c r="AJ102" i="19"/>
  <c r="AI102" i="19"/>
  <c r="AH102" i="19"/>
  <c r="AG102" i="19"/>
  <c r="AF102" i="19"/>
  <c r="AE102" i="19"/>
  <c r="AD102" i="19"/>
  <c r="AC102" i="19"/>
  <c r="AB102" i="19"/>
  <c r="AA102" i="19"/>
  <c r="Z102" i="19"/>
  <c r="Y102" i="19"/>
  <c r="X102" i="19"/>
  <c r="W102" i="19"/>
  <c r="V102" i="19"/>
  <c r="AT101" i="19"/>
  <c r="AS101" i="19"/>
  <c r="AR101" i="19"/>
  <c r="AQ101" i="19"/>
  <c r="AP101" i="19"/>
  <c r="AO101" i="19"/>
  <c r="AN101" i="19"/>
  <c r="AM101" i="19"/>
  <c r="AL101" i="19"/>
  <c r="AK101" i="19"/>
  <c r="AJ101" i="19"/>
  <c r="AI101" i="19"/>
  <c r="AH101" i="19"/>
  <c r="AG101" i="19"/>
  <c r="AF101" i="19"/>
  <c r="AE101" i="19"/>
  <c r="AD101" i="19"/>
  <c r="AC101" i="19"/>
  <c r="AB101" i="19"/>
  <c r="AA101" i="19"/>
  <c r="Z101" i="19"/>
  <c r="Y101" i="19"/>
  <c r="X101" i="19"/>
  <c r="W101" i="19"/>
  <c r="V101" i="19"/>
  <c r="AL8" i="19"/>
  <c r="AK8" i="19"/>
  <c r="AJ8" i="19"/>
  <c r="AI8" i="19"/>
  <c r="AH8" i="19"/>
  <c r="AG8" i="19"/>
  <c r="AF8" i="19"/>
  <c r="AE8" i="19"/>
  <c r="AD8" i="19"/>
  <c r="AC8" i="19"/>
  <c r="AB8" i="19"/>
  <c r="AA8" i="19"/>
  <c r="Z8" i="19"/>
  <c r="Y8" i="19"/>
  <c r="X8" i="19"/>
  <c r="W8" i="19"/>
  <c r="V8" i="19"/>
  <c r="U8" i="19"/>
  <c r="AL7" i="19"/>
  <c r="AK7" i="19"/>
  <c r="AJ7" i="19"/>
  <c r="AI7" i="19"/>
  <c r="AH7" i="19"/>
  <c r="AG7" i="19"/>
  <c r="AF7" i="19"/>
  <c r="AE7" i="19"/>
  <c r="AD7" i="19"/>
  <c r="AC7" i="19"/>
  <c r="AB7" i="19"/>
  <c r="AA7" i="19"/>
  <c r="Z7" i="19"/>
  <c r="Y7" i="19"/>
  <c r="X7" i="19"/>
  <c r="W7" i="19"/>
  <c r="V7" i="19"/>
  <c r="U7" i="19"/>
  <c r="AL6" i="19"/>
  <c r="AK6" i="19"/>
  <c r="AJ6" i="19"/>
  <c r="AI6" i="19"/>
  <c r="AH6" i="19"/>
  <c r="AG6" i="19"/>
  <c r="AF6" i="19"/>
  <c r="AE6" i="19"/>
  <c r="AD6" i="19"/>
  <c r="AC6" i="19"/>
  <c r="AB6" i="19"/>
  <c r="AA6" i="19"/>
  <c r="Z6" i="19"/>
  <c r="Y6" i="19"/>
  <c r="X6" i="19"/>
  <c r="W6" i="19"/>
  <c r="V6" i="19"/>
  <c r="U6" i="19"/>
  <c r="AL5" i="19"/>
  <c r="AK5" i="19"/>
  <c r="AJ5" i="19"/>
  <c r="AI5" i="19"/>
  <c r="AH5" i="19"/>
  <c r="AG5" i="19"/>
  <c r="AF5" i="19"/>
  <c r="AE5" i="19"/>
  <c r="AD5" i="19"/>
  <c r="AC5" i="19"/>
  <c r="AB5" i="19"/>
  <c r="AA5" i="19"/>
  <c r="Z5" i="19"/>
  <c r="Y5" i="19"/>
  <c r="X5" i="19"/>
  <c r="W5" i="19"/>
  <c r="V5" i="19"/>
  <c r="U5" i="19"/>
  <c r="AL4" i="19"/>
  <c r="AK4" i="19"/>
  <c r="AJ4" i="19"/>
  <c r="AI4" i="19"/>
  <c r="AH4" i="19"/>
  <c r="AG4" i="19"/>
  <c r="AF4" i="19"/>
  <c r="AE4" i="19"/>
  <c r="AD4" i="19"/>
  <c r="AC4" i="19"/>
  <c r="AB4" i="19"/>
  <c r="AA4" i="19"/>
  <c r="Z4" i="19"/>
  <c r="Y4" i="19"/>
  <c r="X4" i="19"/>
  <c r="W4" i="19"/>
  <c r="V4" i="19"/>
  <c r="U4" i="19"/>
  <c r="H16" i="18"/>
  <c r="H15" i="18"/>
  <c r="H14" i="18"/>
  <c r="H13" i="18"/>
  <c r="H12" i="18"/>
  <c r="H11" i="18"/>
  <c r="H10" i="18"/>
  <c r="H9" i="18"/>
  <c r="H8" i="18"/>
  <c r="H7" i="18"/>
  <c r="H6" i="18"/>
  <c r="I14" i="20" l="1"/>
  <c r="E19" i="23" s="1"/>
  <c r="J13" i="20"/>
  <c r="J4" i="20"/>
  <c r="I64" i="20"/>
  <c r="J64" i="20"/>
  <c r="J63" i="20"/>
  <c r="I63" i="20"/>
  <c r="I62" i="20"/>
  <c r="J62" i="20"/>
  <c r="I61" i="20"/>
  <c r="J61" i="20"/>
  <c r="J60" i="20"/>
  <c r="I59" i="20"/>
  <c r="J58" i="20"/>
  <c r="I58" i="20"/>
  <c r="I57" i="20"/>
  <c r="J57" i="20"/>
  <c r="I56" i="20"/>
  <c r="J56" i="20"/>
  <c r="J55" i="20"/>
  <c r="I55" i="20"/>
  <c r="I54" i="20"/>
  <c r="J54" i="20"/>
  <c r="J53" i="20"/>
  <c r="I53" i="20"/>
  <c r="I52" i="20"/>
  <c r="J52" i="20"/>
  <c r="I51" i="20"/>
  <c r="J51" i="20"/>
  <c r="I50" i="20"/>
  <c r="J50" i="20"/>
  <c r="I49" i="20"/>
  <c r="J49" i="20"/>
  <c r="I48" i="20"/>
  <c r="J48" i="20"/>
  <c r="J47" i="20"/>
  <c r="I47" i="20"/>
  <c r="I46" i="20"/>
  <c r="J46" i="20"/>
  <c r="I45" i="20"/>
  <c r="J45" i="20"/>
  <c r="I44" i="20"/>
  <c r="J44" i="20"/>
  <c r="I43" i="20"/>
  <c r="J43" i="20"/>
  <c r="J42" i="20"/>
  <c r="I42" i="20"/>
  <c r="I41" i="20"/>
  <c r="J41" i="20"/>
  <c r="I40" i="20"/>
  <c r="J40" i="20"/>
  <c r="I38" i="20"/>
  <c r="E43" i="23" s="1"/>
  <c r="J38" i="20"/>
  <c r="I36" i="20"/>
  <c r="E41" i="23" s="1"/>
  <c r="J36" i="20"/>
  <c r="I34" i="20"/>
  <c r="E39" i="23" s="1"/>
  <c r="J34" i="20"/>
  <c r="I33" i="20"/>
  <c r="E38" i="23" s="1"/>
  <c r="J33" i="20"/>
  <c r="I26" i="20"/>
  <c r="E31" i="23" s="1"/>
  <c r="J26" i="20"/>
  <c r="J18" i="20"/>
  <c r="I18" i="20"/>
  <c r="E23" i="23" s="1"/>
  <c r="J17" i="20"/>
  <c r="I17" i="20"/>
  <c r="E22" i="23" s="1"/>
  <c r="I16" i="20"/>
  <c r="E21" i="23" s="1"/>
  <c r="J16" i="20"/>
  <c r="J15" i="20"/>
  <c r="I15" i="20"/>
  <c r="E20" i="23" s="1"/>
  <c r="I12" i="20"/>
  <c r="E17" i="23" s="1"/>
  <c r="J12" i="20"/>
  <c r="I11" i="20"/>
  <c r="E16" i="23" s="1"/>
  <c r="J11" i="20"/>
  <c r="I10" i="20"/>
  <c r="E15" i="23" s="1"/>
  <c r="J10" i="20"/>
  <c r="J9" i="20"/>
  <c r="I9" i="20"/>
  <c r="E14" i="23" s="1"/>
  <c r="J8" i="20"/>
  <c r="I8" i="20"/>
  <c r="E13" i="23" s="1"/>
  <c r="J7" i="20"/>
  <c r="I7" i="20"/>
  <c r="E12" i="23" s="1"/>
  <c r="I6" i="20"/>
  <c r="E11" i="23" s="1"/>
  <c r="J6" i="20"/>
  <c r="I5" i="20"/>
  <c r="E10" i="23" s="1"/>
  <c r="J5" i="20"/>
  <c r="BJ46" i="19"/>
  <c r="BJ49" i="19"/>
  <c r="BJ50" i="19"/>
  <c r="BJ51" i="19"/>
  <c r="BJ52" i="19"/>
  <c r="BJ58" i="19"/>
  <c r="BJ59" i="19"/>
  <c r="BJ62" i="19"/>
  <c r="AQ56" i="19"/>
  <c r="AP58" i="19"/>
  <c r="AO51" i="19"/>
  <c r="AO52" i="19"/>
  <c r="AO53" i="19"/>
  <c r="AN55" i="19"/>
  <c r="AP59" i="19"/>
  <c r="AP60" i="19"/>
  <c r="AS60" i="19" s="1"/>
  <c r="C60" i="20" s="1"/>
  <c r="AO62" i="19"/>
  <c r="AM64" i="19"/>
  <c r="AP48" i="19"/>
  <c r="AN64" i="19"/>
  <c r="AP50" i="19"/>
  <c r="AQ57" i="19"/>
  <c r="AP61" i="19"/>
  <c r="AN57" i="19"/>
  <c r="AM58" i="19"/>
  <c r="AS58" i="19" s="1"/>
  <c r="C58" i="20" s="1"/>
  <c r="AQ58" i="19"/>
  <c r="AS55" i="19"/>
  <c r="AM50" i="19"/>
  <c r="AO55" i="19"/>
  <c r="AO56" i="19"/>
  <c r="AM52" i="19"/>
  <c r="AQ52" i="19"/>
  <c r="AM53" i="19"/>
  <c r="AQ53" i="19"/>
  <c r="AS53" i="19" s="1"/>
  <c r="AP55" i="19"/>
  <c r="AO57" i="19"/>
  <c r="AS57" i="19" s="1"/>
  <c r="C57" i="20" s="1"/>
  <c r="AN58" i="19"/>
  <c r="AS59" i="19"/>
  <c r="C59" i="20" s="1"/>
  <c r="AN60" i="19"/>
  <c r="AM61" i="19"/>
  <c r="AP63" i="19"/>
  <c r="AM51" i="19"/>
  <c r="AS51" i="19" s="1"/>
  <c r="C51" i="20" s="1"/>
  <c r="AQ51" i="19"/>
  <c r="AP56" i="19"/>
  <c r="AN61" i="19"/>
  <c r="AP57" i="19"/>
  <c r="AQ63" i="19"/>
  <c r="AQ64" i="19"/>
  <c r="AO50" i="19"/>
  <c r="AN50" i="19"/>
  <c r="AQ49" i="19"/>
  <c r="AP49" i="19"/>
  <c r="AO49" i="19"/>
  <c r="AN49" i="19"/>
  <c r="AM49" i="19"/>
  <c r="AQ48" i="19"/>
  <c r="AO48" i="19"/>
  <c r="AN48" i="19"/>
  <c r="AM48" i="19"/>
  <c r="AQ47" i="19"/>
  <c r="AP47" i="19"/>
  <c r="AO47" i="19"/>
  <c r="AN47" i="19"/>
  <c r="AM47" i="19"/>
  <c r="AQ46" i="19"/>
  <c r="AP46" i="19"/>
  <c r="AN46" i="19"/>
  <c r="AM46" i="19"/>
  <c r="AS62" i="19"/>
  <c r="C62" i="20" s="1"/>
  <c r="AS63" i="19"/>
  <c r="AS56" i="19"/>
  <c r="AS52" i="19"/>
  <c r="C52" i="20" s="1"/>
  <c r="AS54" i="19"/>
  <c r="Z45" i="24"/>
  <c r="AA45" i="24" s="1"/>
  <c r="AS45" i="19"/>
  <c r="AS44" i="19"/>
  <c r="C44" i="20" s="1"/>
  <c r="AO43" i="19"/>
  <c r="AO44" i="19"/>
  <c r="AP43" i="19"/>
  <c r="AN22" i="19"/>
  <c r="AP25" i="19"/>
  <c r="AN26" i="19"/>
  <c r="AP27" i="19"/>
  <c r="AN28" i="19"/>
  <c r="BJ44" i="19"/>
  <c r="BJ6" i="19"/>
  <c r="BJ18" i="19"/>
  <c r="AN33" i="19"/>
  <c r="Z43" i="24"/>
  <c r="AA43" i="24" s="1"/>
  <c r="Z44" i="24"/>
  <c r="AA44" i="24" s="1"/>
  <c r="AS43" i="19"/>
  <c r="BJ39" i="19"/>
  <c r="BJ15" i="19"/>
  <c r="BJ23" i="19"/>
  <c r="AQ39" i="19"/>
  <c r="AM34" i="19"/>
  <c r="AM36" i="19"/>
  <c r="AO31" i="19"/>
  <c r="BJ16" i="19"/>
  <c r="BJ20" i="19"/>
  <c r="BJ24" i="19"/>
  <c r="BJ28" i="19"/>
  <c r="BJ36" i="19"/>
  <c r="BJ42" i="19"/>
  <c r="AN32" i="19"/>
  <c r="AP35" i="19"/>
  <c r="AN36" i="19"/>
  <c r="AQ29" i="19"/>
  <c r="AM33" i="19"/>
  <c r="AQ33" i="19"/>
  <c r="AM35" i="19"/>
  <c r="BJ40" i="19"/>
  <c r="BJ33" i="19"/>
  <c r="BB39" i="19"/>
  <c r="F39" i="20" s="1"/>
  <c r="G39" i="20" s="1"/>
  <c r="H39" i="20" s="1"/>
  <c r="Z39" i="24"/>
  <c r="Z41" i="24"/>
  <c r="AA41" i="24" s="1"/>
  <c r="Z40" i="24"/>
  <c r="AA40" i="24" s="1"/>
  <c r="Z42" i="24"/>
  <c r="AA42" i="24" s="1"/>
  <c r="V42" i="24"/>
  <c r="X42" i="24" s="1"/>
  <c r="Y42" i="24" s="1"/>
  <c r="S39" i="24"/>
  <c r="U39" i="24" s="1"/>
  <c r="V39" i="24" s="1"/>
  <c r="X39" i="24" s="1"/>
  <c r="Y39" i="24" s="1"/>
  <c r="AQ42" i="19"/>
  <c r="AP42" i="19"/>
  <c r="AO42" i="19"/>
  <c r="AN42" i="19"/>
  <c r="AM42" i="19"/>
  <c r="AQ41" i="19"/>
  <c r="AP41" i="19"/>
  <c r="AO41" i="19"/>
  <c r="AN41" i="19"/>
  <c r="AM41" i="19"/>
  <c r="AQ40" i="19"/>
  <c r="AP40" i="19"/>
  <c r="AO40" i="19"/>
  <c r="AN40" i="19"/>
  <c r="AM40" i="19"/>
  <c r="AP39" i="19"/>
  <c r="AO39" i="19"/>
  <c r="AN39" i="19"/>
  <c r="AM39" i="19"/>
  <c r="Z32" i="24"/>
  <c r="BB32" i="19"/>
  <c r="F32" i="20" s="1"/>
  <c r="G32" i="20" s="1"/>
  <c r="H32" i="20" s="1"/>
  <c r="Z38" i="24"/>
  <c r="BB22" i="19"/>
  <c r="F22" i="20" s="1"/>
  <c r="G22" i="20" s="1"/>
  <c r="H22" i="20" s="1"/>
  <c r="BB20" i="19"/>
  <c r="F20" i="20" s="1"/>
  <c r="G20" i="20" s="1"/>
  <c r="H20" i="20" s="1"/>
  <c r="Z20" i="24"/>
  <c r="BB21" i="19"/>
  <c r="F21" i="20" s="1"/>
  <c r="G21" i="20" s="1"/>
  <c r="H21" i="20" s="1"/>
  <c r="Z21" i="24"/>
  <c r="Z24" i="24"/>
  <c r="BB24" i="19"/>
  <c r="F24" i="20" s="1"/>
  <c r="G24" i="20" s="1"/>
  <c r="H24" i="20" s="1"/>
  <c r="Z26" i="24"/>
  <c r="BB19" i="19"/>
  <c r="F19" i="20" s="1"/>
  <c r="G19" i="20" s="1"/>
  <c r="H19" i="20" s="1"/>
  <c r="Z19" i="24"/>
  <c r="AA19" i="24" s="1"/>
  <c r="BB23" i="19"/>
  <c r="F23" i="20" s="1"/>
  <c r="G23" i="20" s="1"/>
  <c r="H23" i="20" s="1"/>
  <c r="Z23" i="24"/>
  <c r="Z31" i="24"/>
  <c r="BB31" i="19"/>
  <c r="F31" i="20" s="1"/>
  <c r="G31" i="20" s="1"/>
  <c r="H31" i="20" s="1"/>
  <c r="BB35" i="19"/>
  <c r="F35" i="20" s="1"/>
  <c r="G35" i="20" s="1"/>
  <c r="H35" i="20" s="1"/>
  <c r="Z35" i="24"/>
  <c r="Z25" i="24"/>
  <c r="BB25" i="19"/>
  <c r="F25" i="20" s="1"/>
  <c r="G25" i="20" s="1"/>
  <c r="H25" i="20" s="1"/>
  <c r="BB37" i="19"/>
  <c r="F37" i="20" s="1"/>
  <c r="G37" i="20" s="1"/>
  <c r="H37" i="20" s="1"/>
  <c r="Z37" i="24"/>
  <c r="Z29" i="24"/>
  <c r="BB29" i="19"/>
  <c r="F29" i="20" s="1"/>
  <c r="G29" i="20" s="1"/>
  <c r="H29" i="20" s="1"/>
  <c r="Z33" i="24"/>
  <c r="Z34" i="24"/>
  <c r="BB27" i="19"/>
  <c r="F27" i="20" s="1"/>
  <c r="G27" i="20" s="1"/>
  <c r="H27" i="20" s="1"/>
  <c r="BB30" i="19"/>
  <c r="F30" i="20" s="1"/>
  <c r="G30" i="20" s="1"/>
  <c r="H30" i="20" s="1"/>
  <c r="Z36" i="24"/>
  <c r="AQ34" i="19"/>
  <c r="BJ12" i="19"/>
  <c r="BJ4" i="19"/>
  <c r="AO30" i="19"/>
  <c r="BJ5" i="19"/>
  <c r="BJ9" i="19"/>
  <c r="AP9" i="19"/>
  <c r="AQ31" i="19"/>
  <c r="AO36" i="19"/>
  <c r="AS36" i="19" s="1"/>
  <c r="BJ21" i="19"/>
  <c r="BJ10" i="19"/>
  <c r="AP38" i="19"/>
  <c r="AM30" i="19"/>
  <c r="AQ30" i="19"/>
  <c r="AQ32" i="19"/>
  <c r="BJ30" i="19"/>
  <c r="BJ34" i="19"/>
  <c r="AQ36" i="19"/>
  <c r="BJ27" i="19"/>
  <c r="T30" i="24"/>
  <c r="V30" i="24" s="1"/>
  <c r="X30" i="24" s="1"/>
  <c r="Y30" i="24" s="1"/>
  <c r="BA30" i="19" s="1"/>
  <c r="T37" i="24"/>
  <c r="T36" i="24"/>
  <c r="T35" i="24"/>
  <c r="V35" i="24" s="1"/>
  <c r="X35" i="24" s="1"/>
  <c r="Y35" i="24" s="1"/>
  <c r="BA35" i="19" s="1"/>
  <c r="T34" i="24"/>
  <c r="T32" i="24"/>
  <c r="V32" i="24" s="1"/>
  <c r="X32" i="24" s="1"/>
  <c r="Y32" i="24" s="1"/>
  <c r="BA32" i="19" s="1"/>
  <c r="T31" i="24"/>
  <c r="V31" i="24" s="1"/>
  <c r="X31" i="24" s="1"/>
  <c r="Y31" i="24" s="1"/>
  <c r="BA31" i="19" s="1"/>
  <c r="T29" i="24"/>
  <c r="T28" i="24"/>
  <c r="V28" i="24" s="1"/>
  <c r="X28" i="24" s="1"/>
  <c r="Y28" i="24" s="1"/>
  <c r="BA28" i="19" s="1"/>
  <c r="T27" i="24"/>
  <c r="V27" i="24" s="1"/>
  <c r="X27" i="24" s="1"/>
  <c r="Y27" i="24" s="1"/>
  <c r="T26" i="24"/>
  <c r="V26" i="24" s="1"/>
  <c r="X26" i="24" s="1"/>
  <c r="Y26" i="24" s="1"/>
  <c r="BA26" i="19" s="1"/>
  <c r="T25" i="24"/>
  <c r="V25" i="24" s="1"/>
  <c r="X25" i="24" s="1"/>
  <c r="Y25" i="24" s="1"/>
  <c r="BA25" i="19" s="1"/>
  <c r="T24" i="24"/>
  <c r="V24" i="24" s="1"/>
  <c r="X24" i="24" s="1"/>
  <c r="Y24" i="24" s="1"/>
  <c r="BA24" i="19" s="1"/>
  <c r="T23" i="24"/>
  <c r="T22" i="24"/>
  <c r="V22" i="24" s="1"/>
  <c r="X22" i="24" s="1"/>
  <c r="Y22" i="24" s="1"/>
  <c r="BA22" i="19" s="1"/>
  <c r="T21" i="24"/>
  <c r="T20" i="24"/>
  <c r="V20" i="24" s="1"/>
  <c r="X20" i="24" s="1"/>
  <c r="Y20" i="24" s="1"/>
  <c r="BA20" i="19" s="1"/>
  <c r="T19" i="24"/>
  <c r="V19" i="24" s="1"/>
  <c r="X19" i="24" s="1"/>
  <c r="Y19" i="24" s="1"/>
  <c r="BA19" i="19" s="1"/>
  <c r="T18" i="24"/>
  <c r="V18" i="24" s="1"/>
  <c r="X18" i="24" s="1"/>
  <c r="Y18" i="24" s="1"/>
  <c r="BA18" i="19" s="1"/>
  <c r="T16" i="24"/>
  <c r="T15" i="24"/>
  <c r="V15" i="24" s="1"/>
  <c r="X15" i="24" s="1"/>
  <c r="Y15" i="24" s="1"/>
  <c r="BA15" i="19" s="1"/>
  <c r="T14" i="24"/>
  <c r="V14" i="24" s="1"/>
  <c r="X14" i="24" s="1"/>
  <c r="Y14" i="24" s="1"/>
  <c r="BA14" i="19" s="1"/>
  <c r="T13" i="24"/>
  <c r="V13" i="24" s="1"/>
  <c r="X13" i="24" s="1"/>
  <c r="Y13" i="24" s="1"/>
  <c r="BA13" i="19" s="1"/>
  <c r="T12" i="24"/>
  <c r="V12" i="24" s="1"/>
  <c r="X12" i="24" s="1"/>
  <c r="Y12" i="24" s="1"/>
  <c r="BA12" i="19" s="1"/>
  <c r="T11" i="24"/>
  <c r="T10" i="24"/>
  <c r="V10" i="24" s="1"/>
  <c r="X10" i="24" s="1"/>
  <c r="Y10" i="24" s="1"/>
  <c r="BA10" i="19" s="1"/>
  <c r="T8" i="24"/>
  <c r="V8" i="24" s="1"/>
  <c r="X8" i="24" s="1"/>
  <c r="Y8" i="24" s="1"/>
  <c r="BA8" i="19" s="1"/>
  <c r="T7" i="24"/>
  <c r="V7" i="24" s="1"/>
  <c r="X7" i="24" s="1"/>
  <c r="Y7" i="24" s="1"/>
  <c r="BA7" i="19" s="1"/>
  <c r="V6" i="24"/>
  <c r="X6" i="24" s="1"/>
  <c r="Y6" i="24" s="1"/>
  <c r="BA6" i="19" s="1"/>
  <c r="T5" i="24"/>
  <c r="V5" i="24" s="1"/>
  <c r="X5" i="24" s="1"/>
  <c r="Y5" i="24" s="1"/>
  <c r="BA5" i="19" s="1"/>
  <c r="V4" i="24"/>
  <c r="X4" i="24" s="1"/>
  <c r="Y4" i="24" s="1"/>
  <c r="BA4" i="19" s="1"/>
  <c r="AO29" i="19"/>
  <c r="AP33" i="19"/>
  <c r="AN37" i="19"/>
  <c r="BJ8" i="19"/>
  <c r="BJ26" i="19"/>
  <c r="AO32" i="19"/>
  <c r="AS32" i="19" s="1"/>
  <c r="AO35" i="19"/>
  <c r="BJ19" i="19"/>
  <c r="BJ37" i="19"/>
  <c r="AP29" i="19"/>
  <c r="AN31" i="19"/>
  <c r="AP32" i="19"/>
  <c r="AO37" i="19"/>
  <c r="AQ38" i="19"/>
  <c r="AM38" i="19"/>
  <c r="BJ38" i="19"/>
  <c r="AN34" i="19"/>
  <c r="BJ13" i="19"/>
  <c r="BJ31" i="19"/>
  <c r="AM29" i="19"/>
  <c r="AM32" i="19"/>
  <c r="AO34" i="19"/>
  <c r="AP37" i="19"/>
  <c r="AN38" i="19"/>
  <c r="BJ17" i="19"/>
  <c r="BJ35" i="19"/>
  <c r="AN30" i="19"/>
  <c r="AP31" i="19"/>
  <c r="AQ35" i="19"/>
  <c r="BJ14" i="19"/>
  <c r="BJ32" i="19"/>
  <c r="AN29" i="19"/>
  <c r="AO33" i="19"/>
  <c r="AP34" i="19"/>
  <c r="AQ37" i="19"/>
  <c r="AO38" i="19"/>
  <c r="BJ7" i="19"/>
  <c r="BJ25" i="19"/>
  <c r="AM31" i="19"/>
  <c r="BJ11" i="19"/>
  <c r="BJ29" i="19"/>
  <c r="AP30" i="19"/>
  <c r="AN35" i="19"/>
  <c r="AP36" i="19"/>
  <c r="AM37" i="19"/>
  <c r="BJ22" i="19"/>
  <c r="Z18" i="24"/>
  <c r="Z10" i="24"/>
  <c r="Z8" i="24"/>
  <c r="Z9" i="24"/>
  <c r="AA9" i="24" s="1"/>
  <c r="Z5" i="24"/>
  <c r="Z16" i="24"/>
  <c r="Z6" i="24"/>
  <c r="Z11" i="24"/>
  <c r="Z13" i="24"/>
  <c r="AA13" i="24" s="1"/>
  <c r="Z14" i="24"/>
  <c r="Z15" i="24"/>
  <c r="Z4" i="24"/>
  <c r="Z7" i="24"/>
  <c r="Z12" i="24"/>
  <c r="Z17" i="24"/>
  <c r="V16" i="24"/>
  <c r="X16" i="24" s="1"/>
  <c r="Y16" i="24" s="1"/>
  <c r="BA16" i="19" s="1"/>
  <c r="V23" i="24"/>
  <c r="X23" i="24" s="1"/>
  <c r="Y23" i="24" s="1"/>
  <c r="BA23" i="19" s="1"/>
  <c r="V37" i="24"/>
  <c r="X37" i="24" s="1"/>
  <c r="Y37" i="24" s="1"/>
  <c r="BA37" i="19" s="1"/>
  <c r="V33" i="24"/>
  <c r="X33" i="24" s="1"/>
  <c r="Y33" i="24" s="1"/>
  <c r="BA33" i="19" s="1"/>
  <c r="V38" i="24"/>
  <c r="X38" i="24" s="1"/>
  <c r="Y38" i="24" s="1"/>
  <c r="BA38" i="19" s="1"/>
  <c r="V11" i="24"/>
  <c r="X11" i="24" s="1"/>
  <c r="Y11" i="24" s="1"/>
  <c r="BA11" i="19" s="1"/>
  <c r="V29" i="24"/>
  <c r="X29" i="24" s="1"/>
  <c r="Y29" i="24" s="1"/>
  <c r="BA29" i="19" s="1"/>
  <c r="V34" i="24"/>
  <c r="X34" i="24" s="1"/>
  <c r="Y34" i="24" s="1"/>
  <c r="BA34" i="19" s="1"/>
  <c r="V21" i="24"/>
  <c r="X21" i="24" s="1"/>
  <c r="Y21" i="24" s="1"/>
  <c r="BA21" i="19" s="1"/>
  <c r="V17" i="24"/>
  <c r="X17" i="24" s="1"/>
  <c r="Y17" i="24" s="1"/>
  <c r="BA17" i="19" s="1"/>
  <c r="V36" i="24"/>
  <c r="X36" i="24" s="1"/>
  <c r="Y36" i="24" s="1"/>
  <c r="BA36" i="19" s="1"/>
  <c r="AQ14" i="19"/>
  <c r="AM19" i="19"/>
  <c r="AQ19" i="19"/>
  <c r="AM23" i="19"/>
  <c r="AQ9" i="19"/>
  <c r="AQ11" i="19"/>
  <c r="AQ13" i="19"/>
  <c r="AQ15" i="19"/>
  <c r="AQ17" i="19"/>
  <c r="AN19" i="19"/>
  <c r="AQ5" i="19"/>
  <c r="AQ7" i="19"/>
  <c r="AM20" i="19"/>
  <c r="AQ20" i="19"/>
  <c r="AM22" i="19"/>
  <c r="AQ22" i="19"/>
  <c r="AM21" i="19"/>
  <c r="AQ21" i="19"/>
  <c r="AP12" i="19"/>
  <c r="AO22" i="19"/>
  <c r="AM27" i="19"/>
  <c r="AM4" i="19"/>
  <c r="AQ4" i="19"/>
  <c r="AM6" i="19"/>
  <c r="AQ6" i="19"/>
  <c r="AQ8" i="19"/>
  <c r="AQ10" i="19"/>
  <c r="AQ12" i="19"/>
  <c r="AQ16" i="19"/>
  <c r="AQ18" i="19"/>
  <c r="AO19" i="19"/>
  <c r="AN23" i="19"/>
  <c r="AN12" i="19"/>
  <c r="AP19" i="19"/>
  <c r="AO21" i="19"/>
  <c r="AN21" i="19"/>
  <c r="AP22" i="19"/>
  <c r="AN24" i="19"/>
  <c r="AQ23" i="19"/>
  <c r="AO24" i="19"/>
  <c r="AM25" i="19"/>
  <c r="AQ25" i="19"/>
  <c r="AO26" i="19"/>
  <c r="AO28" i="19"/>
  <c r="AO10" i="19"/>
  <c r="AN20" i="19"/>
  <c r="AP21" i="19"/>
  <c r="AQ27" i="19"/>
  <c r="AO8" i="19"/>
  <c r="AO20" i="19"/>
  <c r="AP24" i="19"/>
  <c r="AN25" i="19"/>
  <c r="AP26" i="19"/>
  <c r="AN27" i="19"/>
  <c r="AP28" i="19"/>
  <c r="AO23" i="19"/>
  <c r="AP8" i="19"/>
  <c r="AP20" i="19"/>
  <c r="AO25" i="19"/>
  <c r="AM26" i="19"/>
  <c r="AQ26" i="19"/>
  <c r="AO27" i="19"/>
  <c r="AM28" i="19"/>
  <c r="AP23" i="19"/>
  <c r="AM24" i="19"/>
  <c r="AQ24" i="19"/>
  <c r="AQ28" i="19"/>
  <c r="AP18" i="19"/>
  <c r="AO18" i="19"/>
  <c r="AN18" i="19"/>
  <c r="AM18" i="19"/>
  <c r="AP17" i="19"/>
  <c r="AO17" i="19"/>
  <c r="AN17" i="19"/>
  <c r="AM17" i="19"/>
  <c r="AP16" i="19"/>
  <c r="AO16" i="19"/>
  <c r="AN16" i="19"/>
  <c r="AM16" i="19"/>
  <c r="AP15" i="19"/>
  <c r="AO15" i="19"/>
  <c r="AN15" i="19"/>
  <c r="AM15" i="19"/>
  <c r="AP14" i="19"/>
  <c r="AO14" i="19"/>
  <c r="AN14" i="19"/>
  <c r="AM14" i="19"/>
  <c r="AP13" i="19"/>
  <c r="AO13" i="19"/>
  <c r="AN13" i="19"/>
  <c r="AM13" i="19"/>
  <c r="AO12" i="19"/>
  <c r="AM12" i="19"/>
  <c r="AP11" i="19"/>
  <c r="AO11" i="19"/>
  <c r="AN11" i="19"/>
  <c r="AM11" i="19"/>
  <c r="AP10" i="19"/>
  <c r="AN10" i="19"/>
  <c r="AM10" i="19"/>
  <c r="AO9" i="19"/>
  <c r="AN9" i="19"/>
  <c r="AM9" i="19"/>
  <c r="AN8" i="19"/>
  <c r="AM8" i="19"/>
  <c r="AP7" i="19"/>
  <c r="AO7" i="19"/>
  <c r="AN7" i="19"/>
  <c r="AM7" i="19"/>
  <c r="AP6" i="19"/>
  <c r="AO6" i="19"/>
  <c r="AN6" i="19"/>
  <c r="AP5" i="19"/>
  <c r="AO5" i="19"/>
  <c r="AN5" i="19"/>
  <c r="AM5" i="19"/>
  <c r="AP4" i="19"/>
  <c r="AO4" i="19"/>
  <c r="AN4" i="19"/>
  <c r="J39" i="20" l="1"/>
  <c r="I39" i="20"/>
  <c r="I37" i="20"/>
  <c r="E42" i="23" s="1"/>
  <c r="J37" i="20"/>
  <c r="I35" i="20"/>
  <c r="E40" i="23" s="1"/>
  <c r="J35" i="20"/>
  <c r="I32" i="20"/>
  <c r="E37" i="23" s="1"/>
  <c r="J32" i="20"/>
  <c r="I31" i="20"/>
  <c r="E36" i="23" s="1"/>
  <c r="J31" i="20"/>
  <c r="I30" i="20"/>
  <c r="E35" i="23" s="1"/>
  <c r="J30" i="20"/>
  <c r="I29" i="20"/>
  <c r="E34" i="23" s="1"/>
  <c r="J29" i="20"/>
  <c r="J27" i="20"/>
  <c r="I27" i="20"/>
  <c r="E32" i="23" s="1"/>
  <c r="J25" i="20"/>
  <c r="I25" i="20"/>
  <c r="E30" i="23" s="1"/>
  <c r="I24" i="20"/>
  <c r="E29" i="23" s="1"/>
  <c r="J24" i="20"/>
  <c r="J23" i="20"/>
  <c r="I23" i="20"/>
  <c r="E28" i="23" s="1"/>
  <c r="I22" i="20"/>
  <c r="E27" i="23" s="1"/>
  <c r="J22" i="20"/>
  <c r="I21" i="20"/>
  <c r="E26" i="23" s="1"/>
  <c r="J21" i="20"/>
  <c r="J20" i="20"/>
  <c r="I20" i="20"/>
  <c r="E25" i="23" s="1"/>
  <c r="I19" i="20"/>
  <c r="E24" i="23" s="1"/>
  <c r="J19" i="20"/>
  <c r="BK63" i="19"/>
  <c r="BL63" i="19" s="1"/>
  <c r="C63" i="20"/>
  <c r="BK56" i="19"/>
  <c r="C56" i="20"/>
  <c r="BK55" i="19"/>
  <c r="BM55" i="19" s="1"/>
  <c r="C55" i="20"/>
  <c r="BK54" i="19"/>
  <c r="C54" i="20"/>
  <c r="BK53" i="19"/>
  <c r="BL53" i="19" s="1"/>
  <c r="C53" i="20"/>
  <c r="BK45" i="19"/>
  <c r="C45" i="20"/>
  <c r="BK43" i="19"/>
  <c r="BL43" i="19" s="1"/>
  <c r="C43" i="20"/>
  <c r="BK66" i="19"/>
  <c r="BL66" i="19" s="1"/>
  <c r="BK65" i="19"/>
  <c r="BL65" i="19" s="1"/>
  <c r="BK52" i="19"/>
  <c r="BM52" i="19" s="1"/>
  <c r="BK51" i="19"/>
  <c r="BM51" i="19" s="1"/>
  <c r="BK58" i="19"/>
  <c r="BM58" i="19" s="1"/>
  <c r="BK62" i="19"/>
  <c r="BL62" i="19" s="1"/>
  <c r="BK59" i="19"/>
  <c r="BK60" i="19"/>
  <c r="BK57" i="19"/>
  <c r="BL57" i="19" s="1"/>
  <c r="AS64" i="19"/>
  <c r="C64" i="20" s="1"/>
  <c r="AS49" i="19"/>
  <c r="AS50" i="19"/>
  <c r="AS61" i="19"/>
  <c r="C61" i="20" s="1"/>
  <c r="BL55" i="19"/>
  <c r="AS48" i="19"/>
  <c r="AS47" i="19"/>
  <c r="AS46" i="19"/>
  <c r="BL56" i="19"/>
  <c r="BM56" i="19"/>
  <c r="BL54" i="19"/>
  <c r="BM54" i="19"/>
  <c r="BM45" i="19"/>
  <c r="BL45" i="19"/>
  <c r="AS29" i="19"/>
  <c r="C29" i="20" s="1"/>
  <c r="BK44" i="19"/>
  <c r="AS38" i="19"/>
  <c r="AS35" i="19"/>
  <c r="AS34" i="19"/>
  <c r="AS30" i="19"/>
  <c r="AA39" i="24"/>
  <c r="AS41" i="19"/>
  <c r="AS39" i="19"/>
  <c r="AS42" i="19"/>
  <c r="AS40" i="19"/>
  <c r="AS31" i="19"/>
  <c r="AS26" i="19"/>
  <c r="AS33" i="19"/>
  <c r="BK33" i="19" s="1"/>
  <c r="AS37" i="19"/>
  <c r="BK37" i="19" s="1"/>
  <c r="AA30" i="24"/>
  <c r="AA38" i="24"/>
  <c r="AA37" i="24"/>
  <c r="AA36" i="24"/>
  <c r="AA35" i="24"/>
  <c r="AA34" i="24"/>
  <c r="AA33" i="24"/>
  <c r="AA32" i="24"/>
  <c r="AA31" i="24"/>
  <c r="AA29" i="24"/>
  <c r="AA28" i="24"/>
  <c r="BA27" i="19"/>
  <c r="AA27" i="24"/>
  <c r="AA26" i="24"/>
  <c r="AA25" i="24"/>
  <c r="AA24" i="24"/>
  <c r="AA23" i="24"/>
  <c r="AA22" i="24"/>
  <c r="AA21" i="24"/>
  <c r="AA20" i="24"/>
  <c r="AA18" i="24"/>
  <c r="AA17" i="24"/>
  <c r="AA16" i="24"/>
  <c r="AA15" i="24"/>
  <c r="AA14" i="24"/>
  <c r="AA12" i="24"/>
  <c r="AA11" i="24"/>
  <c r="AA10" i="24"/>
  <c r="AA8" i="24"/>
  <c r="AA7" i="24"/>
  <c r="AA6" i="24"/>
  <c r="AA5" i="24"/>
  <c r="AA4" i="24"/>
  <c r="BK32" i="19"/>
  <c r="C32" i="20"/>
  <c r="AS22" i="19"/>
  <c r="BK36" i="19"/>
  <c r="C36" i="20"/>
  <c r="AS19" i="19"/>
  <c r="AS12" i="19"/>
  <c r="AS24" i="19"/>
  <c r="AS28" i="19"/>
  <c r="AS27" i="19"/>
  <c r="AS17" i="19"/>
  <c r="AS21" i="19"/>
  <c r="AS20" i="19"/>
  <c r="AS6" i="19"/>
  <c r="AS23" i="19"/>
  <c r="AS8" i="19"/>
  <c r="AS11" i="19"/>
  <c r="AS25" i="19"/>
  <c r="AS18" i="19"/>
  <c r="AS16" i="19"/>
  <c r="AS15" i="19"/>
  <c r="AS14" i="19"/>
  <c r="AS13" i="19"/>
  <c r="AS10" i="19"/>
  <c r="AS9" i="19"/>
  <c r="AS7" i="19"/>
  <c r="AS5" i="19"/>
  <c r="AS4" i="19"/>
  <c r="BM63" i="19" l="1"/>
  <c r="BM53" i="19"/>
  <c r="BL52" i="19"/>
  <c r="BK50" i="19"/>
  <c r="BM50" i="19" s="1"/>
  <c r="C50" i="20"/>
  <c r="BK49" i="19"/>
  <c r="BL49" i="19" s="1"/>
  <c r="C49" i="20"/>
  <c r="BK48" i="19"/>
  <c r="BM48" i="19" s="1"/>
  <c r="C48" i="20"/>
  <c r="BK47" i="19"/>
  <c r="BL47" i="19" s="1"/>
  <c r="C47" i="20"/>
  <c r="BK46" i="19"/>
  <c r="BL46" i="19" s="1"/>
  <c r="C46" i="20"/>
  <c r="BM43" i="19"/>
  <c r="BK42" i="19"/>
  <c r="BM42" i="19" s="1"/>
  <c r="C42" i="20"/>
  <c r="BK41" i="19"/>
  <c r="BM41" i="19" s="1"/>
  <c r="C41" i="20"/>
  <c r="BK40" i="19"/>
  <c r="BM40" i="19" s="1"/>
  <c r="C40" i="20"/>
  <c r="BK39" i="19"/>
  <c r="BM39" i="19" s="1"/>
  <c r="C39" i="20"/>
  <c r="C38" i="20"/>
  <c r="BK38" i="19"/>
  <c r="BM38" i="19" s="1"/>
  <c r="C34" i="20"/>
  <c r="BK34" i="19"/>
  <c r="C30" i="20"/>
  <c r="BK30" i="19"/>
  <c r="BM30" i="19" s="1"/>
  <c r="BK29" i="19"/>
  <c r="C26" i="20"/>
  <c r="BM66" i="19"/>
  <c r="BM65" i="19"/>
  <c r="BM62" i="19"/>
  <c r="BL51" i="19"/>
  <c r="BL58" i="19"/>
  <c r="BM57" i="19"/>
  <c r="BK64" i="19"/>
  <c r="BM49" i="19"/>
  <c r="BK61" i="19"/>
  <c r="BM60" i="19"/>
  <c r="BL60" i="19"/>
  <c r="BM59" i="19"/>
  <c r="BL59" i="19"/>
  <c r="BK31" i="19"/>
  <c r="BL31" i="19" s="1"/>
  <c r="C31" i="20"/>
  <c r="BK35" i="19"/>
  <c r="BL35" i="19" s="1"/>
  <c r="BM44" i="19"/>
  <c r="BL44" i="19"/>
  <c r="C35" i="20"/>
  <c r="BK26" i="19"/>
  <c r="BM26" i="19" s="1"/>
  <c r="C37" i="20"/>
  <c r="BL41" i="19"/>
  <c r="BL42" i="19"/>
  <c r="BL40" i="19"/>
  <c r="C33" i="20"/>
  <c r="BK14" i="19"/>
  <c r="BM29" i="19"/>
  <c r="BL29" i="19"/>
  <c r="BM36" i="19"/>
  <c r="BL36" i="19"/>
  <c r="C27" i="20"/>
  <c r="BK27" i="19"/>
  <c r="BK12" i="19"/>
  <c r="BK11" i="19"/>
  <c r="BK15" i="19"/>
  <c r="BK16" i="19"/>
  <c r="C22" i="20"/>
  <c r="BK22" i="19"/>
  <c r="BK8" i="19"/>
  <c r="BK23" i="19"/>
  <c r="C23" i="20"/>
  <c r="C6" i="20"/>
  <c r="BK6" i="19"/>
  <c r="BK7" i="19"/>
  <c r="BK19" i="19"/>
  <c r="C19" i="20"/>
  <c r="BK20" i="19"/>
  <c r="C20" i="20"/>
  <c r="BM33" i="19"/>
  <c r="BL33" i="19"/>
  <c r="BK9" i="19"/>
  <c r="BK13" i="19"/>
  <c r="BK18" i="19"/>
  <c r="C24" i="20"/>
  <c r="BK24" i="19"/>
  <c r="BL26" i="19"/>
  <c r="BK4" i="19"/>
  <c r="BK21" i="19"/>
  <c r="C21" i="20"/>
  <c r="BM34" i="19"/>
  <c r="BL34" i="19"/>
  <c r="BM32" i="19"/>
  <c r="BL32" i="19"/>
  <c r="BM37" i="19"/>
  <c r="BL37" i="19"/>
  <c r="BK28" i="19"/>
  <c r="C28" i="20"/>
  <c r="BK10" i="19"/>
  <c r="BK5" i="19"/>
  <c r="C25" i="20"/>
  <c r="BK25" i="19"/>
  <c r="C17" i="20"/>
  <c r="BK17" i="19"/>
  <c r="C12" i="20"/>
  <c r="C11" i="20"/>
  <c r="C8" i="20"/>
  <c r="C10" i="20"/>
  <c r="C7" i="20"/>
  <c r="C9" i="20"/>
  <c r="C13" i="20"/>
  <c r="C15" i="20"/>
  <c r="C18" i="20"/>
  <c r="C5" i="20"/>
  <c r="C14" i="20"/>
  <c r="C16" i="20"/>
  <c r="C4" i="20"/>
  <c r="BL50" i="19" l="1"/>
  <c r="BL48" i="19"/>
  <c r="BM47" i="19"/>
  <c r="BM46" i="19"/>
  <c r="BL39" i="19"/>
  <c r="BL38" i="19"/>
  <c r="BM35" i="19"/>
  <c r="BM31" i="19"/>
  <c r="BL30" i="19"/>
  <c r="BM64" i="19"/>
  <c r="BL64" i="19"/>
  <c r="BL61" i="19"/>
  <c r="BM61" i="19"/>
  <c r="BM17" i="19"/>
  <c r="BL17" i="19"/>
  <c r="C33" i="22"/>
  <c r="BM15" i="19"/>
  <c r="BL15" i="19"/>
  <c r="C29" i="22"/>
  <c r="BM24" i="19"/>
  <c r="BL24" i="19"/>
  <c r="BM20" i="19"/>
  <c r="BL20" i="19"/>
  <c r="BM27" i="19"/>
  <c r="BL27" i="19"/>
  <c r="BL8" i="19"/>
  <c r="BM8" i="19"/>
  <c r="BM5" i="19"/>
  <c r="BL5" i="19"/>
  <c r="C36" i="22"/>
  <c r="BM13" i="19"/>
  <c r="BL13" i="19"/>
  <c r="BM25" i="19"/>
  <c r="BL25" i="19"/>
  <c r="BM11" i="19"/>
  <c r="BL11" i="19"/>
  <c r="BM9" i="19"/>
  <c r="BL9" i="19"/>
  <c r="C30" i="22"/>
  <c r="BM22" i="19"/>
  <c r="BL22" i="19"/>
  <c r="C32" i="22"/>
  <c r="C26" i="22"/>
  <c r="C37" i="22"/>
  <c r="BM10" i="19"/>
  <c r="BL10" i="19"/>
  <c r="BM21" i="19"/>
  <c r="BL21" i="19"/>
  <c r="BM19" i="19"/>
  <c r="BL19" i="19"/>
  <c r="BM12" i="19"/>
  <c r="BL12" i="19"/>
  <c r="BM4" i="19"/>
  <c r="BL4" i="19"/>
  <c r="BM6" i="19"/>
  <c r="BL6" i="19"/>
  <c r="C34" i="22"/>
  <c r="BM28" i="19"/>
  <c r="BL28" i="19"/>
  <c r="BM18" i="19"/>
  <c r="BL18" i="19"/>
  <c r="BM7" i="19"/>
  <c r="BL7" i="19"/>
  <c r="BM16" i="19"/>
  <c r="BL16" i="19"/>
  <c r="BM23" i="19"/>
  <c r="BL23" i="19"/>
  <c r="C38" i="22"/>
  <c r="BM14" i="19"/>
  <c r="BL14" i="19"/>
  <c r="F11" i="23"/>
  <c r="C6" i="22"/>
  <c r="G11" i="23"/>
  <c r="C14" i="22"/>
  <c r="F36" i="23" l="1"/>
  <c r="C31" i="22"/>
  <c r="C35" i="22"/>
  <c r="G34" i="23"/>
  <c r="F34" i="23"/>
  <c r="C22" i="22"/>
  <c r="C25" i="22"/>
  <c r="G40" i="23"/>
  <c r="F40" i="23"/>
  <c r="C21" i="22"/>
  <c r="G22" i="23"/>
  <c r="C17" i="22"/>
  <c r="C19" i="22"/>
  <c r="C27" i="22"/>
  <c r="C24" i="22"/>
  <c r="G42" i="23"/>
  <c r="F42" i="23"/>
  <c r="F35" i="23"/>
  <c r="G35" i="23"/>
  <c r="C20" i="22"/>
  <c r="G38" i="23"/>
  <c r="F38" i="23"/>
  <c r="F31" i="23"/>
  <c r="G31" i="23"/>
  <c r="C23" i="22"/>
  <c r="F37" i="23"/>
  <c r="G37" i="23"/>
  <c r="C28" i="22"/>
  <c r="G41" i="23"/>
  <c r="F41" i="23"/>
  <c r="F23" i="23"/>
  <c r="G43" i="23"/>
  <c r="F43" i="23"/>
  <c r="G36" i="23"/>
  <c r="F39" i="23"/>
  <c r="G39" i="23"/>
  <c r="G18" i="23"/>
  <c r="C13" i="22"/>
  <c r="C15" i="22"/>
  <c r="C12" i="22"/>
  <c r="C18" i="22"/>
  <c r="C16" i="22"/>
  <c r="C7" i="22"/>
  <c r="C8" i="22"/>
  <c r="C10" i="22"/>
  <c r="C11" i="22"/>
  <c r="C5" i="22"/>
  <c r="C9" i="22"/>
  <c r="F22" i="23" l="1"/>
  <c r="G23" i="23"/>
  <c r="F18" i="23"/>
  <c r="G28" i="23"/>
  <c r="F28" i="23"/>
  <c r="G32" i="23"/>
  <c r="F32" i="23"/>
  <c r="F26" i="23"/>
  <c r="G26" i="23"/>
  <c r="F25" i="23"/>
  <c r="G25" i="23"/>
  <c r="G30" i="23"/>
  <c r="F30" i="23"/>
  <c r="G27" i="23"/>
  <c r="F27" i="23"/>
  <c r="G24" i="23"/>
  <c r="F24" i="23"/>
  <c r="G33" i="23"/>
  <c r="F33" i="23"/>
  <c r="F29" i="23"/>
  <c r="G29" i="23"/>
  <c r="F12" i="23"/>
  <c r="F15" i="23"/>
  <c r="G15" i="23"/>
  <c r="F20" i="23"/>
  <c r="F10" i="23"/>
  <c r="G21" i="23"/>
  <c r="G19" i="23"/>
  <c r="G20" i="23"/>
  <c r="G14" i="23"/>
  <c r="F19" i="23"/>
  <c r="G17" i="23"/>
  <c r="F17" i="23"/>
  <c r="G10" i="23"/>
  <c r="F14" i="23"/>
  <c r="G12" i="23"/>
  <c r="G16" i="23"/>
  <c r="F16" i="23"/>
  <c r="F21" i="23"/>
  <c r="G13" i="23"/>
  <c r="F13" i="23"/>
  <c r="C4" i="22" l="1"/>
  <c r="H25" i="23" l="1"/>
  <c r="I25" i="23" s="1"/>
  <c r="H34" i="23"/>
  <c r="I34" i="23" s="1"/>
  <c r="H35" i="23"/>
  <c r="I35" i="23" s="1"/>
  <c r="H36" i="23"/>
  <c r="I36" i="23" s="1"/>
  <c r="H37" i="23"/>
  <c r="I37" i="23" s="1"/>
  <c r="H42" i="23"/>
  <c r="I42" i="23" s="1"/>
  <c r="H26" i="23"/>
  <c r="I26" i="23" s="1"/>
  <c r="H24" i="23"/>
  <c r="I24" i="23" s="1"/>
  <c r="H40" i="23"/>
  <c r="I40" i="23" s="1"/>
  <c r="H29" i="23"/>
  <c r="I29" i="23" s="1"/>
  <c r="H31" i="23"/>
  <c r="I31" i="23" s="1"/>
  <c r="H28" i="23"/>
  <c r="I28" i="23" s="1"/>
  <c r="H41" i="23"/>
  <c r="I41" i="23" s="1"/>
  <c r="H43" i="23"/>
  <c r="I43" i="23" s="1"/>
  <c r="H32" i="23"/>
  <c r="I32" i="23" s="1"/>
  <c r="H38" i="23"/>
  <c r="I38" i="23" s="1"/>
  <c r="H11" i="23"/>
  <c r="I11" i="23" s="1"/>
  <c r="H27" i="23"/>
  <c r="I27" i="23" s="1"/>
  <c r="H30" i="23"/>
  <c r="I30" i="23" s="1"/>
  <c r="H39" i="23"/>
  <c r="I39" i="23" s="1"/>
  <c r="H33" i="23"/>
  <c r="I33" i="23" s="1"/>
  <c r="H23" i="23"/>
  <c r="I23" i="23" s="1"/>
  <c r="H22" i="23"/>
  <c r="I22" i="23" s="1"/>
  <c r="H13" i="23"/>
  <c r="I13" i="23" s="1"/>
  <c r="H14" i="23"/>
  <c r="I14" i="23" s="1"/>
  <c r="H18" i="23"/>
  <c r="I18" i="23" s="1"/>
  <c r="H15" i="23"/>
  <c r="I15" i="23" s="1"/>
  <c r="H21" i="23"/>
  <c r="I21" i="23" s="1"/>
  <c r="H17" i="23"/>
  <c r="I17" i="23" s="1"/>
  <c r="H16" i="23"/>
  <c r="I16" i="23" s="1"/>
  <c r="H20" i="23"/>
  <c r="I20" i="23" s="1"/>
  <c r="H10" i="23"/>
  <c r="I10" i="23" s="1"/>
  <c r="H12" i="23"/>
  <c r="I12" i="23" s="1"/>
  <c r="H19" i="23"/>
  <c r="I19" i="23" s="1"/>
  <c r="G9" i="23"/>
  <c r="F9" i="23"/>
  <c r="H9" i="23" l="1"/>
  <c r="I9" i="2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FRANCISCO PINILLOS</author>
    <author>tc={A541AB76-C02B-4A3B-9CAC-5AA36DF750D0}</author>
  </authors>
  <commentList>
    <comment ref="I45" authorId="0" shapeId="0" xr:uid="{EA4AD2A4-E43A-437E-870D-055ADB882237}">
      <text>
        <r>
          <rPr>
            <b/>
            <sz val="9"/>
            <color indexed="81"/>
            <rFont val="Tahoma"/>
            <family val="2"/>
          </rPr>
          <t>FRANCISCO PINILLOS:</t>
        </r>
        <r>
          <rPr>
            <sz val="9"/>
            <color indexed="81"/>
            <rFont val="Tahoma"/>
            <family val="2"/>
          </rPr>
          <t xml:space="preserve">
Source: Kraken IR (net cash position), https://www.krakenrobotics.com/news-releases/kraken-robotics-reports-record-q3-2025-financial-results/</t>
        </r>
      </text>
    </comment>
    <comment ref="J45" authorId="0" shapeId="0" xr:uid="{F57929B5-CB58-4293-9C46-874F931BF0F6}">
      <text>
        <r>
          <rPr>
            <b/>
            <sz val="9"/>
            <color indexed="81"/>
            <rFont val="Tahoma"/>
            <family val="2"/>
          </rPr>
          <t>FRANCISCO PINILLOS:</t>
        </r>
        <r>
          <rPr>
            <sz val="9"/>
            <color indexed="81"/>
            <rFont val="Tahoma"/>
            <family val="2"/>
          </rPr>
          <t xml:space="preserve">
Source: Kraken IR (working capital $193.9M vs assets implied), https://www.krakenrobotics.com/news-releases/kraken-robotics-reports-record-q3-2025-financial-results/</t>
        </r>
      </text>
    </comment>
    <comment ref="N45" authorId="0" shapeId="0" xr:uid="{9E436567-755C-47D8-85AD-A772119074E5}">
      <text>
        <r>
          <rPr>
            <b/>
            <sz val="9"/>
            <color indexed="81"/>
            <rFont val="Tahoma"/>
            <family val="2"/>
          </rPr>
          <t>FRANCISCO PINILLOS:</t>
        </r>
        <r>
          <rPr>
            <sz val="9"/>
            <color indexed="81"/>
            <rFont val="Tahoma"/>
            <family val="2"/>
          </rPr>
          <t xml:space="preserve">
Source: Kraken IR (capex $5.1M / rev $91.3M = 5.6%), https://www.krakenrobotics.com/news-releases/kraken-robotics-reports-2024-financial-results/</t>
        </r>
      </text>
    </comment>
    <comment ref="C84" authorId="1" shapeId="0" xr:uid="{A541AB76-C02B-4A3B-9CAC-5AA36DF750D0}">
      <text>
        <t>[Comentario encadenado]
Su versión de Excel le permite leer este comentario encadenado; sin embargo, las ediciones que se apliquen se quitarán si el archivo se abre en una versión más reciente de Excel. Más información: https://go.microsoft.com/fwlink/?linkid=870924
Comentario:
    Source: Data compiled from SEC EDGAR filings (10-K/10-Q), company investor relations pages, and official earnings releases for FY2024/FY2025. Key sources include: investors.fico.com, investors.adyen.com, ir.msci.com, investors.applovin.com, investors.seagate.com, ir.crowdstrike.com, ropertech.com, cmegroup.com, and respective company IR pages. Data as of most recent fiscal year available (2024-2025). Some metrics are approximations from publicly available data.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FRANCISCO PINILLOS</author>
  </authors>
  <commentList>
    <comment ref="W39" authorId="0" shapeId="0" xr:uid="{7514606F-E920-40D4-94E6-FF4A7CD74288}">
      <text>
        <r>
          <rPr>
            <b/>
            <sz val="9"/>
            <color indexed="81"/>
            <rFont val="Tahoma"/>
            <family val="2"/>
          </rPr>
          <t>FRANCISCO PINILLOS:</t>
        </r>
        <r>
          <rPr>
            <sz val="9"/>
            <color indexed="81"/>
            <rFont val="Tahoma"/>
            <family val="2"/>
          </rPr>
          <t xml:space="preserve">
Source: stockanalysis.com (net cash), https://stockanalysis.com/stocks/gev/statistics/</t>
        </r>
      </text>
    </comment>
    <comment ref="W40" authorId="0" shapeId="0" xr:uid="{F3B793FE-6D24-49F7-8266-37F3A6D6DB96}">
      <text>
        <r>
          <rPr>
            <b/>
            <sz val="9"/>
            <color indexed="81"/>
            <rFont val="Tahoma"/>
            <family val="2"/>
          </rPr>
          <t>FRANCISCO PINILLOS:</t>
        </r>
        <r>
          <rPr>
            <sz val="9"/>
            <color indexed="81"/>
            <rFont val="Tahoma"/>
            <family val="2"/>
          </rPr>
          <t xml:space="preserve">
Source: stockanalysis.com, https://stockanalysis.com/stocks/be/statistics/</t>
        </r>
      </text>
    </comment>
    <comment ref="W41" authorId="0" shapeId="0" xr:uid="{C050C572-B2B4-40B0-AAB4-EE6C980DFB01}">
      <text>
        <r>
          <rPr>
            <b/>
            <sz val="9"/>
            <color indexed="81"/>
            <rFont val="Tahoma"/>
            <family val="2"/>
          </rPr>
          <t>FRANCISCO PINILLOS:</t>
        </r>
        <r>
          <rPr>
            <sz val="9"/>
            <color indexed="81"/>
            <rFont val="Tahoma"/>
            <family val="2"/>
          </rPr>
          <t xml:space="preserve">
Source: stockanalysis.com, https://stockanalysis.com/stocks/vrt/statistics/</t>
        </r>
      </text>
    </comment>
    <comment ref="W42" authorId="0" shapeId="0" xr:uid="{B38ED3F2-1A97-427A-A40E-11EDE7AF5B44}">
      <text>
        <r>
          <rPr>
            <b/>
            <sz val="9"/>
            <color indexed="81"/>
            <rFont val="Tahoma"/>
            <family val="2"/>
          </rPr>
          <t>FRANCISCO PINILLOS:</t>
        </r>
        <r>
          <rPr>
            <sz val="9"/>
            <color indexed="81"/>
            <rFont val="Tahoma"/>
            <family val="2"/>
          </rPr>
          <t xml:space="preserve">
Source: stockanalysis.com (approx.), https://stockanalysis.com/stocks/etn/statistics/</t>
        </r>
      </text>
    </comment>
    <comment ref="W43" authorId="0" shapeId="0" xr:uid="{A57B52A1-84BA-4E15-9032-F97619FB4847}">
      <text>
        <r>
          <rPr>
            <b/>
            <sz val="9"/>
            <color indexed="81"/>
            <rFont val="Tahoma"/>
            <family val="2"/>
          </rPr>
          <t>Source: stockanalysis.com (approximate net debt), https://stockanalysis.com/stocks/iren/statistics/</t>
        </r>
      </text>
    </comment>
    <comment ref="W44" authorId="0" shapeId="0" xr:uid="{D23F26D8-1F9D-43CE-A542-07ACB5B1AFEA}">
      <text>
        <r>
          <rPr>
            <b/>
            <sz val="9"/>
            <color indexed="81"/>
            <rFont val="Tahoma"/>
            <family val="2"/>
          </rPr>
          <t>Source: Core Scientific IR (approximate), https://investors.corescientific.com/</t>
        </r>
      </text>
    </comment>
    <comment ref="W45" authorId="0" shapeId="0" xr:uid="{274550D3-7165-4B57-A8CB-3FB6718CBCD5}">
      <text>
        <r>
          <rPr>
            <b/>
            <sz val="9"/>
            <color indexed="81"/>
            <rFont val="Tahoma"/>
            <family val="2"/>
          </rPr>
          <t>Source: Kraken IR Q3 2025 (cash $126.6M), https://www.krakenrobotics.com/news-releases/kraken-robotics-reports-record-q3-2025-financial-results/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7">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5"/>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8"/>
        </ext>
      </extLst>
    </bk>
    <bk>
      <extLst>
        <ext uri="{3e2802c4-a4d2-4d8b-9148-e3be6c30e623}">
          <xlrd:rvb i="111"/>
        </ext>
      </extLst>
    </bk>
    <bk>
      <extLst>
        <ext uri="{3e2802c4-a4d2-4d8b-9148-e3be6c30e623}">
          <xlrd:rvb i="113"/>
        </ext>
      </extLst>
    </bk>
    <bk>
      <extLst>
        <ext uri="{3e2802c4-a4d2-4d8b-9148-e3be6c30e623}">
          <xlrd:rvb i="116"/>
        </ext>
      </extLst>
    </bk>
    <bk>
      <extLst>
        <ext uri="{3e2802c4-a4d2-4d8b-9148-e3be6c30e623}">
          <xlrd:rvb i="119"/>
        </ext>
      </extLst>
    </bk>
    <bk>
      <extLst>
        <ext uri="{3e2802c4-a4d2-4d8b-9148-e3be6c30e623}">
          <xlrd:rvb i="122"/>
        </ext>
      </extLst>
    </bk>
    <bk>
      <extLst>
        <ext uri="{3e2802c4-a4d2-4d8b-9148-e3be6c30e623}">
          <xlrd:rvb i="125"/>
        </ext>
      </extLst>
    </bk>
    <bk>
      <extLst>
        <ext uri="{3e2802c4-a4d2-4d8b-9148-e3be6c30e623}">
          <xlrd:rvb i="127"/>
        </ext>
      </extLst>
    </bk>
    <bk>
      <extLst>
        <ext uri="{3e2802c4-a4d2-4d8b-9148-e3be6c30e623}">
          <xlrd:rvb i="130"/>
        </ext>
      </extLst>
    </bk>
    <bk>
      <extLst>
        <ext uri="{3e2802c4-a4d2-4d8b-9148-e3be6c30e623}">
          <xlrd:rvb i="132"/>
        </ext>
      </extLst>
    </bk>
    <bk>
      <extLst>
        <ext uri="{3e2802c4-a4d2-4d8b-9148-e3be6c30e623}">
          <xlrd:rvb i="135"/>
        </ext>
      </extLst>
    </bk>
    <bk>
      <extLst>
        <ext uri="{3e2802c4-a4d2-4d8b-9148-e3be6c30e623}">
          <xlrd:rvb i="138"/>
        </ext>
      </extLst>
    </bk>
    <bk>
      <extLst>
        <ext uri="{3e2802c4-a4d2-4d8b-9148-e3be6c30e623}">
          <xlrd:rvb i="141"/>
        </ext>
      </extLst>
    </bk>
    <bk>
      <extLst>
        <ext uri="{3e2802c4-a4d2-4d8b-9148-e3be6c30e623}">
          <xlrd:rvb i="144"/>
        </ext>
      </extLst>
    </bk>
    <bk>
      <extLst>
        <ext uri="{3e2802c4-a4d2-4d8b-9148-e3be6c30e623}">
          <xlrd:rvb i="147"/>
        </ext>
      </extLst>
    </bk>
    <bk>
      <extLst>
        <ext uri="{3e2802c4-a4d2-4d8b-9148-e3be6c30e623}">
          <xlrd:rvb i="150"/>
        </ext>
      </extLst>
    </bk>
    <bk>
      <extLst>
        <ext uri="{3e2802c4-a4d2-4d8b-9148-e3be6c30e623}">
          <xlrd:rvb i="153"/>
        </ext>
      </extLst>
    </bk>
    <bk>
      <extLst>
        <ext uri="{3e2802c4-a4d2-4d8b-9148-e3be6c30e623}">
          <xlrd:rvb i="156"/>
        </ext>
      </extLst>
    </bk>
    <bk>
      <extLst>
        <ext uri="{3e2802c4-a4d2-4d8b-9148-e3be6c30e623}">
          <xlrd:rvb i="159"/>
        </ext>
      </extLst>
    </bk>
    <bk>
      <extLst>
        <ext uri="{3e2802c4-a4d2-4d8b-9148-e3be6c30e623}">
          <xlrd:rvb i="162"/>
        </ext>
      </extLst>
    </bk>
    <bk>
      <extLst>
        <ext uri="{3e2802c4-a4d2-4d8b-9148-e3be6c30e623}">
          <xlrd:rvb i="165"/>
        </ext>
      </extLst>
    </bk>
    <bk>
      <extLst>
        <ext uri="{3e2802c4-a4d2-4d8b-9148-e3be6c30e623}">
          <xlrd:rvb i="168"/>
        </ext>
      </extLst>
    </bk>
    <bk>
      <extLst>
        <ext uri="{3e2802c4-a4d2-4d8b-9148-e3be6c30e623}">
          <xlrd:rvb i="171"/>
        </ext>
      </extLst>
    </bk>
    <bk>
      <extLst>
        <ext uri="{3e2802c4-a4d2-4d8b-9148-e3be6c30e623}">
          <xlrd:rvb i="174"/>
        </ext>
      </extLst>
    </bk>
    <bk>
      <extLst>
        <ext uri="{3e2802c4-a4d2-4d8b-9148-e3be6c30e623}">
          <xlrd:rvb i="177"/>
        </ext>
      </extLst>
    </bk>
    <bk>
      <extLst>
        <ext uri="{3e2802c4-a4d2-4d8b-9148-e3be6c30e623}">
          <xlrd:rvb i="180"/>
        </ext>
      </extLst>
    </bk>
    <bk>
      <extLst>
        <ext uri="{3e2802c4-a4d2-4d8b-9148-e3be6c30e623}">
          <xlrd:rvb i="183"/>
        </ext>
      </extLst>
    </bk>
    <bk>
      <extLst>
        <ext uri="{3e2802c4-a4d2-4d8b-9148-e3be6c30e623}">
          <xlrd:rvb i="186"/>
        </ext>
      </extLst>
    </bk>
    <bk>
      <extLst>
        <ext uri="{3e2802c4-a4d2-4d8b-9148-e3be6c30e623}">
          <xlrd:rvb i="189"/>
        </ext>
      </extLst>
    </bk>
    <bk>
      <extLst>
        <ext uri="{3e2802c4-a4d2-4d8b-9148-e3be6c30e623}">
          <xlrd:rvb i="192"/>
        </ext>
      </extLst>
    </bk>
    <bk>
      <extLst>
        <ext uri="{3e2802c4-a4d2-4d8b-9148-e3be6c30e623}">
          <xlrd:rvb i="195"/>
        </ext>
      </extLst>
    </bk>
    <bk>
      <extLst>
        <ext uri="{3e2802c4-a4d2-4d8b-9148-e3be6c30e623}">
          <xlrd:rvb i="198"/>
        </ext>
      </extLst>
    </bk>
    <bk>
      <extLst>
        <ext uri="{3e2802c4-a4d2-4d8b-9148-e3be6c30e623}">
          <xlrd:rvb i="201"/>
        </ext>
      </extLst>
    </bk>
    <bk>
      <extLst>
        <ext uri="{3e2802c4-a4d2-4d8b-9148-e3be6c30e623}">
          <xlrd:rvb i="204"/>
        </ext>
      </extLst>
    </bk>
    <bk>
      <extLst>
        <ext uri="{3e2802c4-a4d2-4d8b-9148-e3be6c30e623}">
          <xlrd:rvb i="207"/>
        </ext>
      </extLst>
    </bk>
    <bk>
      <extLst>
        <ext uri="{3e2802c4-a4d2-4d8b-9148-e3be6c30e623}">
          <xlrd:rvb i="209"/>
        </ext>
      </extLst>
    </bk>
    <bk>
      <extLst>
        <ext uri="{3e2802c4-a4d2-4d8b-9148-e3be6c30e623}">
          <xlrd:rvb i="212"/>
        </ext>
      </extLst>
    </bk>
    <bk>
      <extLst>
        <ext uri="{3e2802c4-a4d2-4d8b-9148-e3be6c30e623}">
          <xlrd:rvb i="215"/>
        </ext>
      </extLst>
    </bk>
    <bk>
      <extLst>
        <ext uri="{3e2802c4-a4d2-4d8b-9148-e3be6c30e623}">
          <xlrd:rvb i="218"/>
        </ext>
      </extLst>
    </bk>
    <bk>
      <extLst>
        <ext uri="{3e2802c4-a4d2-4d8b-9148-e3be6c30e623}">
          <xlrd:rvb i="221"/>
        </ext>
      </extLst>
    </bk>
    <bk>
      <extLst>
        <ext uri="{3e2802c4-a4d2-4d8b-9148-e3be6c30e623}">
          <xlrd:rvb i="224"/>
        </ext>
      </extLst>
    </bk>
    <bk>
      <extLst>
        <ext uri="{3e2802c4-a4d2-4d8b-9148-e3be6c30e623}">
          <xlrd:rvb i="227"/>
        </ext>
      </extLst>
    </bk>
    <bk>
      <extLst>
        <ext uri="{3e2802c4-a4d2-4d8b-9148-e3be6c30e623}">
          <xlrd:rvb i="229"/>
        </ext>
      </extLst>
    </bk>
    <bk>
      <extLst>
        <ext uri="{3e2802c4-a4d2-4d8b-9148-e3be6c30e623}">
          <xlrd:rvb i="231"/>
        </ext>
      </extLst>
    </bk>
    <bk>
      <extLst>
        <ext uri="{3e2802c4-a4d2-4d8b-9148-e3be6c30e623}">
          <xlrd:rvb i="234"/>
        </ext>
      </extLst>
    </bk>
    <bk>
      <extLst>
        <ext uri="{3e2802c4-a4d2-4d8b-9148-e3be6c30e623}">
          <xlrd:rvb i="237"/>
        </ext>
      </extLst>
    </bk>
    <bk>
      <extLst>
        <ext uri="{3e2802c4-a4d2-4d8b-9148-e3be6c30e623}">
          <xlrd:rvb i="240"/>
        </ext>
      </extLst>
    </bk>
    <bk>
      <extLst>
        <ext uri="{3e2802c4-a4d2-4d8b-9148-e3be6c30e623}">
          <xlrd:rvb i="243"/>
        </ext>
      </extLst>
    </bk>
    <bk>
      <extLst>
        <ext uri="{3e2802c4-a4d2-4d8b-9148-e3be6c30e623}">
          <xlrd:rvb i="246"/>
        </ext>
      </extLst>
    </bk>
    <bk>
      <extLst>
        <ext uri="{3e2802c4-a4d2-4d8b-9148-e3be6c30e623}">
          <xlrd:rvb i="249"/>
        </ext>
      </extLst>
    </bk>
    <bk>
      <extLst>
        <ext uri="{3e2802c4-a4d2-4d8b-9148-e3be6c30e623}">
          <xlrd:rvb i="252"/>
        </ext>
      </extLst>
    </bk>
    <bk>
      <extLst>
        <ext uri="{3e2802c4-a4d2-4d8b-9148-e3be6c30e623}">
          <xlrd:rvb i="255"/>
        </ext>
      </extLst>
    </bk>
    <bk>
      <extLst>
        <ext uri="{3e2802c4-a4d2-4d8b-9148-e3be6c30e623}">
          <xlrd:rvb i="258"/>
        </ext>
      </extLst>
    </bk>
    <bk>
      <extLst>
        <ext uri="{3e2802c4-a4d2-4d8b-9148-e3be6c30e623}">
          <xlrd:rvb i="261"/>
        </ext>
      </extLst>
    </bk>
    <bk>
      <extLst>
        <ext uri="{3e2802c4-a4d2-4d8b-9148-e3be6c30e623}">
          <xlrd:rvb i="264"/>
        </ext>
      </extLst>
    </bk>
    <bk>
      <extLst>
        <ext uri="{3e2802c4-a4d2-4d8b-9148-e3be6c30e623}">
          <xlrd:rvb i="267"/>
        </ext>
      </extLst>
    </bk>
    <bk>
      <extLst>
        <ext uri="{3e2802c4-a4d2-4d8b-9148-e3be6c30e623}">
          <xlrd:rvb i="270"/>
        </ext>
      </extLst>
    </bk>
    <bk>
      <extLst>
        <ext uri="{3e2802c4-a4d2-4d8b-9148-e3be6c30e623}">
          <xlrd:rvb i="273"/>
        </ext>
      </extLst>
    </bk>
    <bk>
      <extLst>
        <ext uri="{3e2802c4-a4d2-4d8b-9148-e3be6c30e623}">
          <xlrd:rvb i="276"/>
        </ext>
      </extLst>
    </bk>
    <bk>
      <extLst>
        <ext uri="{3e2802c4-a4d2-4d8b-9148-e3be6c30e623}">
          <xlrd:rvb i="279"/>
        </ext>
      </extLst>
    </bk>
    <bk>
      <extLst>
        <ext uri="{3e2802c4-a4d2-4d8b-9148-e3be6c30e623}">
          <xlrd:rvb i="282"/>
        </ext>
      </extLst>
    </bk>
    <bk>
      <extLst>
        <ext uri="{3e2802c4-a4d2-4d8b-9148-e3be6c30e623}">
          <xlrd:rvb i="285"/>
        </ext>
      </extLst>
    </bk>
    <bk>
      <extLst>
        <ext uri="{3e2802c4-a4d2-4d8b-9148-e3be6c30e623}">
          <xlrd:rvb i="288"/>
        </ext>
      </extLst>
    </bk>
    <bk>
      <extLst>
        <ext uri="{3e2802c4-a4d2-4d8b-9148-e3be6c30e623}">
          <xlrd:rvb i="291"/>
        </ext>
      </extLst>
    </bk>
  </futureMetadata>
  <cellMetadata count="1">
    <bk>
      <rc t="1" v="0"/>
    </bk>
  </cellMetadata>
  <valueMetadata count="97">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valueMetadata>
</metadata>
</file>

<file path=xl/sharedStrings.xml><?xml version="1.0" encoding="utf-8"?>
<sst xmlns="http://schemas.openxmlformats.org/spreadsheetml/2006/main" count="1277" uniqueCount="444">
  <si>
    <t>Industrials</t>
  </si>
  <si>
    <t>Company</t>
  </si>
  <si>
    <t>ROIC (%)</t>
  </si>
  <si>
    <t>NVIDIA Corp</t>
  </si>
  <si>
    <t>FINAL SCORE</t>
  </si>
  <si>
    <t>P1: Profitability</t>
  </si>
  <si>
    <t>P2: Growth</t>
  </si>
  <si>
    <t>P3: Fin. Strength</t>
  </si>
  <si>
    <t>T1 (≥)</t>
  </si>
  <si>
    <t>Score1</t>
  </si>
  <si>
    <t>T2 (≥)</t>
  </si>
  <si>
    <t>Score2</t>
  </si>
  <si>
    <t>T3 (≥)</t>
  </si>
  <si>
    <t>Score3</t>
  </si>
  <si>
    <t>T4 (≥)</t>
  </si>
  <si>
    <t>Score4</t>
  </si>
  <si>
    <t>T5 (≥)</t>
  </si>
  <si>
    <t>Score5</t>
  </si>
  <si>
    <t>T6 (≥)</t>
  </si>
  <si>
    <t>Score6</t>
  </si>
  <si>
    <t>T1 (≤)</t>
  </si>
  <si>
    <t>T2 (≤)</t>
  </si>
  <si>
    <t>T3 (≤)</t>
  </si>
  <si>
    <t>T4 (≤)</t>
  </si>
  <si>
    <t>T5 (≤)</t>
  </si>
  <si>
    <t>T6 (≤)</t>
  </si>
  <si>
    <t>S.ROIC</t>
  </si>
  <si>
    <t>S.RevGr</t>
  </si>
  <si>
    <t>S.OpLev</t>
  </si>
  <si>
    <t>S.Debt</t>
  </si>
  <si>
    <t>S.CR</t>
  </si>
  <si>
    <t>S.IC</t>
  </si>
  <si>
    <t>P1.Adj</t>
  </si>
  <si>
    <t>P2.Adj</t>
  </si>
  <si>
    <t>P3.Adj</t>
  </si>
  <si>
    <t>P4.Adj</t>
  </si>
  <si>
    <t>SA SCORE</t>
  </si>
  <si>
    <t>GENERIC EQUITY SCORING — SECTOR PARAMETERS</t>
  </si>
  <si>
    <t>All scoring thresholds and pillar weights defined here. Change parameters → scores auto-update in Generic Scoring.</t>
  </si>
  <si>
    <t>TABLE 1: PILLAR WEIGHTS BY GICS SECTOR</t>
  </si>
  <si>
    <t>GICS Sector</t>
  </si>
  <si>
    <t>P4: Cash Flow</t>
  </si>
  <si>
    <t>P5: Valuation</t>
  </si>
  <si>
    <t>P6: Shareholder</t>
  </si>
  <si>
    <t>Information Technology</t>
  </si>
  <si>
    <t>Health Care</t>
  </si>
  <si>
    <t>Financials</t>
  </si>
  <si>
    <t>Consumer Discretionary</t>
  </si>
  <si>
    <t>Communication Services</t>
  </si>
  <si>
    <t>Consumer Staples</t>
  </si>
  <si>
    <t>Energy</t>
  </si>
  <si>
    <t>Materials</t>
  </si>
  <si>
    <t>Utilities</t>
  </si>
  <si>
    <t>Real Estate</t>
  </si>
  <si>
    <t>2A. ROE (%) — P1 Sub-weight: 35%</t>
  </si>
  <si>
    <t>2B. ROIC (%) — P1 Sub-weight: 35%</t>
  </si>
  <si>
    <t>2C. Net Margin (%) — P1 Sub-weight: 30%</t>
  </si>
  <si>
    <t>2D. Revenue Growth 3Y CAGR (%) — P2 Sub-weight: 40%</t>
  </si>
  <si>
    <t>2E. EPS Growth 3Y CAGR (%) — P2 Sub-weight: 35%</t>
  </si>
  <si>
    <t>2F. Operating Leverage (x) — P2 Sub-weight: 25%</t>
  </si>
  <si>
    <t>2H. Current Ratio (x) — P3 Sub-weight: 30%</t>
  </si>
  <si>
    <t>2I. Interest Coverage (x) — P3 Sub-weight: 35%</t>
  </si>
  <si>
    <t>2J. FCF Margin (%) — P4 Sub-weight: 40%</t>
  </si>
  <si>
    <t>2K. FCF / Net Income (x) — P4 Sub-weight: 35%</t>
  </si>
  <si>
    <t>T1 (opt)</t>
  </si>
  <si>
    <t>T2</t>
  </si>
  <si>
    <t>T3</t>
  </si>
  <si>
    <t>T4</t>
  </si>
  <si>
    <t>T5</t>
  </si>
  <si>
    <t>T6</t>
  </si>
  <si>
    <t>2R. Buyback Yield (%) — P6 Sub-weight: 30%</t>
  </si>
  <si>
    <t>GENERIC EQUITY SCORING MODEL</t>
  </si>
  <si>
    <t>PILLAR SCORES</t>
  </si>
  <si>
    <t>FINAL</t>
  </si>
  <si>
    <t>#</t>
  </si>
  <si>
    <t>ROE (%)</t>
  </si>
  <si>
    <t>Net Margin (%)</t>
  </si>
  <si>
    <t>Capex/Rev (%)</t>
  </si>
  <si>
    <t>Div Yield (%)</t>
  </si>
  <si>
    <t>S.ROE</t>
  </si>
  <si>
    <t>S.NM</t>
  </si>
  <si>
    <t>S.EPSGr</t>
  </si>
  <si>
    <t>S.FCFm</t>
  </si>
  <si>
    <t>S.FCFni</t>
  </si>
  <si>
    <t>S.Capex</t>
  </si>
  <si>
    <t>S.PE</t>
  </si>
  <si>
    <t>S.EVEB</t>
  </si>
  <si>
    <t>S.PFCF</t>
  </si>
  <si>
    <t>S.DivY</t>
  </si>
  <si>
    <t>S.Payout</t>
  </si>
  <si>
    <t>S.Buyb</t>
  </si>
  <si>
    <t>P6.Adj</t>
  </si>
  <si>
    <t>NextEra Energy</t>
  </si>
  <si>
    <t>Grade</t>
  </si>
  <si>
    <t>Total</t>
  </si>
  <si>
    <t>2G. Net Debt/EBITDA (x) — P3 Sub-weight: 35% — ⚠️ INVERTED</t>
  </si>
  <si>
    <t>2L. Capex / Revenue (%) — P4 Sub-weight: 25% — ⚠️ INVERTED</t>
  </si>
  <si>
    <t>2M. Forward P/E (x) — P5 Sub-weight: 30% — ⚠️ INVERTED</t>
  </si>
  <si>
    <t>2N. EV/EBITDA (x) — P5 Sub-weight: 30% — ⚠️ INVERTED</t>
  </si>
  <si>
    <t>2O. P/FCF (x) — P5 Sub-weight: 25% — ⚠️ INVERTED</t>
  </si>
  <si>
    <t>2P. Dividend Yield (%) — P5:15% / P6:40%</t>
  </si>
  <si>
    <t>2Q. Payout Ratio (%) — P6 Sub-weight: 30% — Sweet-spot</t>
  </si>
  <si>
    <t>SECTOR-ADJUSTED SCORING ENGINE</t>
  </si>
  <si>
    <t>Cols D-U: Manual inputs | Cols V-AM: Auto-scored | Cols AN-AS: Pillar aggregation | Col AT: Final</t>
  </si>
  <si>
    <t>Rev Gr 3Y (%)</t>
  </si>
  <si>
    <t>EPS Gr 3Y (%)</t>
  </si>
  <si>
    <t>Op Lev (x)</t>
  </si>
  <si>
    <t>ND/EBITDA</t>
  </si>
  <si>
    <t>Curr Ratio</t>
  </si>
  <si>
    <t>Int Cov (x)</t>
  </si>
  <si>
    <t>FCF Mar (%)</t>
  </si>
  <si>
    <t>FCF/NI (x)</t>
  </si>
  <si>
    <t>Fwd P/E</t>
  </si>
  <si>
    <t>EV/EBITDA</t>
  </si>
  <si>
    <t>P/FCF</t>
  </si>
  <si>
    <t>Payout (%)</t>
  </si>
  <si>
    <t>Buyback (%)</t>
  </si>
  <si>
    <t>Johnson &amp; Johnson</t>
  </si>
  <si>
    <t>Exxon Mobil Corp</t>
  </si>
  <si>
    <t>Berkshire Hathaway</t>
  </si>
  <si>
    <t>Apple Inc</t>
  </si>
  <si>
    <t>Amazon.com Inc</t>
  </si>
  <si>
    <t>Alphabet Inc</t>
  </si>
  <si>
    <t>Procter &amp; Gamble</t>
  </si>
  <si>
    <t>Caterpillar Inc</t>
  </si>
  <si>
    <t>Linde plc</t>
  </si>
  <si>
    <t>Prologis Inc</t>
  </si>
  <si>
    <t>UnitedHealth Group</t>
  </si>
  <si>
    <t>JPMorgan Chase</t>
  </si>
  <si>
    <t>Chevron Corp</t>
  </si>
  <si>
    <t>VALUATION</t>
  </si>
  <si>
    <t>ROIC 5Y Trend</t>
  </si>
  <si>
    <t>Margin Stability</t>
  </si>
  <si>
    <t>FCF Consistency</t>
  </si>
  <si>
    <t>Trend Quality</t>
  </si>
  <si>
    <t>Ticker</t>
  </si>
  <si>
    <t>Fair Value</t>
  </si>
  <si>
    <t>Upside %</t>
  </si>
  <si>
    <t>NVDA</t>
  </si>
  <si>
    <t>JNJ</t>
  </si>
  <si>
    <t>XOM</t>
  </si>
  <si>
    <t>BRK.B</t>
  </si>
  <si>
    <t>NEE</t>
  </si>
  <si>
    <t>AAPL</t>
  </si>
  <si>
    <t>AMZN</t>
  </si>
  <si>
    <t>GOOGL</t>
  </si>
  <si>
    <t>PG</t>
  </si>
  <si>
    <t>CAT</t>
  </si>
  <si>
    <t>LIN</t>
  </si>
  <si>
    <t>PLD</t>
  </si>
  <si>
    <t>UNH</t>
  </si>
  <si>
    <t>JPM</t>
  </si>
  <si>
    <t>CVX</t>
  </si>
  <si>
    <t>STRUCTURAL RISK OVERLAY (0 to −10)</t>
  </si>
  <si>
    <t>Sector</t>
  </si>
  <si>
    <t>SA Score</t>
  </si>
  <si>
    <t>Trend Q</t>
  </si>
  <si>
    <t>Band</t>
  </si>
  <si>
    <t>Δ 12M</t>
  </si>
  <si>
    <t>Δ 24M</t>
  </si>
  <si>
    <t>—</t>
  </si>
  <si>
    <t>SCORE HISTORY — Quarterly Snapshots</t>
  </si>
  <si>
    <t>Copy Final Scores at end of each quarter. Δ Score calculated automatically in Dashboard.</t>
  </si>
  <si>
    <t>Current Score</t>
  </si>
  <si>
    <t>Q1 2025</t>
  </si>
  <si>
    <t>Q2 2025</t>
  </si>
  <si>
    <t>Q3 2025</t>
  </si>
  <si>
    <t>Q4 2025</t>
  </si>
  <si>
    <t>Q1 2026</t>
  </si>
  <si>
    <t>Q2 2026</t>
  </si>
  <si>
    <t>Q3 2026</t>
  </si>
  <si>
    <t>Q4 2026</t>
  </si>
  <si>
    <t>GENERIC EQUITY — REBALANCING ENGINE</t>
  </si>
  <si>
    <t>Score-Based Position Sizing → Band → Optimal Weight → Rebalance Signal</t>
  </si>
  <si>
    <t>PARAMETERS</t>
  </si>
  <si>
    <t>Portfolio Total (€)</t>
  </si>
  <si>
    <t>Trigger (%)</t>
  </si>
  <si>
    <t>Min. Trade (€)</t>
  </si>
  <si>
    <t>Configurable ↑</t>
  </si>
  <si>
    <t>Final Score</t>
  </si>
  <si>
    <t>Peso Min (%)</t>
  </si>
  <si>
    <t>Peso Max (%)</t>
  </si>
  <si>
    <t>Peso Óptimo (%)</t>
  </si>
  <si>
    <t>Status</t>
  </si>
  <si>
    <t>Current Price 🔄</t>
  </si>
  <si>
    <t>P5.Val</t>
  </si>
  <si>
    <t>Val Score</t>
  </si>
  <si>
    <t>COMBINED</t>
  </si>
  <si>
    <t>Microsoft Corp</t>
  </si>
  <si>
    <t>Visa Inc</t>
  </si>
  <si>
    <t>Eli Lilly &amp; Co</t>
  </si>
  <si>
    <t>McDonald's Corp</t>
  </si>
  <si>
    <t>Costco Wholesale</t>
  </si>
  <si>
    <t>American Tower</t>
  </si>
  <si>
    <t>Duke Energy</t>
  </si>
  <si>
    <t>Union Pacific</t>
  </si>
  <si>
    <t>Freeport-McMoRan</t>
  </si>
  <si>
    <t>T-Mobile US</t>
  </si>
  <si>
    <t>MSFT</t>
  </si>
  <si>
    <t>V</t>
  </si>
  <si>
    <t>LLY</t>
  </si>
  <si>
    <t>MCD</t>
  </si>
  <si>
    <t>COST</t>
  </si>
  <si>
    <t>AMT</t>
  </si>
  <si>
    <t>DUK</t>
  </si>
  <si>
    <t>UNP</t>
  </si>
  <si>
    <t>FCX</t>
  </si>
  <si>
    <t>TMUS</t>
  </si>
  <si>
    <t>Meta Platforms</t>
  </si>
  <si>
    <t>AbbVie Inc</t>
  </si>
  <si>
    <t>Texas Instruments</t>
  </si>
  <si>
    <t>Home Depot</t>
  </si>
  <si>
    <t>Broadcom Inc</t>
  </si>
  <si>
    <t>Walmart Inc</t>
  </si>
  <si>
    <t>ConocoPhillips</t>
  </si>
  <si>
    <t>Goldman Sachs</t>
  </si>
  <si>
    <t>Honeywell Intl</t>
  </si>
  <si>
    <t>Southern Company</t>
  </si>
  <si>
    <t>META</t>
  </si>
  <si>
    <t>ABBV</t>
  </si>
  <si>
    <t>TXN</t>
  </si>
  <si>
    <t>HD</t>
  </si>
  <si>
    <t>AVGO</t>
  </si>
  <si>
    <t>WMT</t>
  </si>
  <si>
    <t>COP</t>
  </si>
  <si>
    <t>GS</t>
  </si>
  <si>
    <t>HON</t>
  </si>
  <si>
    <t>SO</t>
  </si>
  <si>
    <t>DCF SIMPLIFIED — Fair Value Calculator</t>
  </si>
  <si>
    <t>Rev TTM ($M)</t>
  </si>
  <si>
    <t>FCF Margin (%)</t>
  </si>
  <si>
    <t>Shares Out (M)</t>
  </si>
  <si>
    <t>FCF Y1</t>
  </si>
  <si>
    <t>FCF Y2</t>
  </si>
  <si>
    <t>FCF Y3</t>
  </si>
  <si>
    <t>FCF Y4</t>
  </si>
  <si>
    <t>FCF Y5</t>
  </si>
  <si>
    <t>Terminal Value</t>
  </si>
  <si>
    <t>PV of FCFs</t>
  </si>
  <si>
    <t>PV of TV</t>
  </si>
  <si>
    <t>Enterprise Value</t>
  </si>
  <si>
    <t>Equity Value</t>
  </si>
  <si>
    <t>Current Price</t>
  </si>
  <si>
    <t>5-Year DCF model per company. Blue cells = editable assumptions. Fair Value (Y) links to Generic Scoring.</t>
  </si>
  <si>
    <t>Rev Gr Y1</t>
  </si>
  <si>
    <t>Rev Gr Y2</t>
  </si>
  <si>
    <t>Rev Gr Y3</t>
  </si>
  <si>
    <t>Rev Gr Y4</t>
  </si>
  <si>
    <t>Rev Gr Y5</t>
  </si>
  <si>
    <t>Terminal Gr</t>
  </si>
  <si>
    <t>WACC</t>
  </si>
  <si>
    <t>Net Debt ($M)</t>
  </si>
  <si>
    <t>Fair Value/Share</t>
  </si>
  <si>
    <t>DCF Upside %</t>
  </si>
  <si>
    <t>MOMENTUM / TECHNICAL</t>
  </si>
  <si>
    <t>MOMENTUM SCORING</t>
  </si>
  <si>
    <t>P7</t>
  </si>
  <si>
    <t>Price/SMA200 (%)</t>
  </si>
  <si>
    <t>RSI 14</t>
  </si>
  <si>
    <t>Mom 6M (%)</t>
  </si>
  <si>
    <t>S.SMA</t>
  </si>
  <si>
    <t>S.RSI</t>
  </si>
  <si>
    <t>S.Mom</t>
  </si>
  <si>
    <t>P7.Mom</t>
  </si>
  <si>
    <t>FVM Score</t>
  </si>
  <si>
    <t>FVM Band</t>
  </si>
  <si>
    <t>COMBINED SCORE (F40/V20/M25/TQ15)</t>
  </si>
  <si>
    <t>PILAR</t>
  </si>
  <si>
    <t>RATIO</t>
  </si>
  <si>
    <t>FUENTE</t>
  </si>
  <si>
    <t>FRECUENCIA</t>
  </si>
  <si>
    <t>Semanal</t>
  </si>
  <si>
    <t>Semestral</t>
  </si>
  <si>
    <t>Objetivo</t>
  </si>
  <si>
    <t>Universo</t>
  </si>
  <si>
    <t>PASO</t>
  </si>
  <si>
    <t>DESCRIPCION</t>
  </si>
  <si>
    <t>2. Scoring sectorial</t>
  </si>
  <si>
    <t>DCF Simplified</t>
  </si>
  <si>
    <t>Rebalancing</t>
  </si>
  <si>
    <t>DCF Fair Value</t>
  </si>
  <si>
    <t>Consenso/Morningstar</t>
  </si>
  <si>
    <t>GE Vernova</t>
  </si>
  <si>
    <t>Bloom Energy</t>
  </si>
  <si>
    <t>Vertiv Holdings</t>
  </si>
  <si>
    <t>Eaton Corp</t>
  </si>
  <si>
    <t>GEV</t>
  </si>
  <si>
    <t>BE</t>
  </si>
  <si>
    <t>VRT</t>
  </si>
  <si>
    <t>ETN</t>
  </si>
  <si>
    <t>IREN Ltd</t>
  </si>
  <si>
    <t>Core Scientific</t>
  </si>
  <si>
    <t>IREN</t>
  </si>
  <si>
    <t>CORZ</t>
  </si>
  <si>
    <t>Kraken Robotics</t>
  </si>
  <si>
    <t>PNG.V</t>
  </si>
  <si>
    <t>P3: Financial Strength</t>
  </si>
  <si>
    <t>P6: Shareholder Return</t>
  </si>
  <si>
    <t>Brookfield Corp</t>
  </si>
  <si>
    <t>S&amp;P Global Inc</t>
  </si>
  <si>
    <t>Safran SA</t>
  </si>
  <si>
    <t>General Electric Co</t>
  </si>
  <si>
    <t>Taiwan Semiconductor</t>
  </si>
  <si>
    <t>Moody's Corp</t>
  </si>
  <si>
    <t>L'Oreal SA</t>
  </si>
  <si>
    <t>Mastercard Inc</t>
  </si>
  <si>
    <t>Schneider Electric SE</t>
  </si>
  <si>
    <t>Stryker Corp</t>
  </si>
  <si>
    <t>Hermes International</t>
  </si>
  <si>
    <t>ASML Holding NV</t>
  </si>
  <si>
    <t>Vinci SA</t>
  </si>
  <si>
    <t>Ferrovial SE</t>
  </si>
  <si>
    <t>Tesla Inc</t>
  </si>
  <si>
    <t>Intuitive Surgical Inc</t>
  </si>
  <si>
    <t>IDEXX Laboratories Inc</t>
  </si>
  <si>
    <t>AST SpaceMobile Inc</t>
  </si>
  <si>
    <t>Palantir Technologies Inc</t>
  </si>
  <si>
    <t>SK Hynix</t>
  </si>
  <si>
    <t>Lumentum Holdings</t>
  </si>
  <si>
    <t>ARISTA Networks</t>
  </si>
  <si>
    <t>Credo Technology</t>
  </si>
  <si>
    <t>Marvell Technology</t>
  </si>
  <si>
    <t>Signal</t>
  </si>
  <si>
    <t>GENERIC EQUITY — SIMPLIFIED DASHBOARD</t>
  </si>
  <si>
    <t>SA Score + Trend Quality → FINAL SCORE → Val Score → COMBINED → Band → Signal</t>
  </si>
  <si>
    <t>SIGNAL</t>
  </si>
  <si>
    <t>ROE (35%) + ROIC (35%) + Net Margin (30%)</t>
  </si>
  <si>
    <t>3. Pilares + SA Score</t>
  </si>
  <si>
    <t>4. Trend Quality</t>
  </si>
  <si>
    <t>5. FINAL SCORE</t>
  </si>
  <si>
    <t>Pipeline</t>
  </si>
  <si>
    <t>Rev Growth 3Y (40%) + EPS Growth 3Y (35%) + Op Lev (25%)</t>
  </si>
  <si>
    <t>Salud financiera y liquidez</t>
  </si>
  <si>
    <t>Div Yield (45%) + Payout (20%) + Buyback (35%)</t>
  </si>
  <si>
    <t>1. Input datos</t>
  </si>
  <si>
    <t>Scoring cols C-T</t>
  </si>
  <si>
    <t>Puntuar 0-100 con umbrales GICS (6 niveles T1-T6)</t>
  </si>
  <si>
    <t>Scoring cols U-AL</t>
  </si>
  <si>
    <t>Scoring cols AM-AS</t>
  </si>
  <si>
    <t>ROIC trend + Margin stability + FCF consistency (-10 a +10)</t>
  </si>
  <si>
    <t>Scoring cols AT-AW</t>
  </si>
  <si>
    <t>Documentacion consolidada: Funcionamiento + Ratios + Fuentes</t>
  </si>
  <si>
    <t>1. VISION GENERAL</t>
  </si>
  <si>
    <t>Scoring cuantitativo 0-100. Combina fundamentales, valoracion y momentum con ajuste sectorial GICS.</t>
  </si>
  <si>
    <t>~60 empresas de gran capitalizacion diversificadas en 11 sectores GICS.</t>
  </si>
  <si>
    <t>18 metricas &gt; Scoring sectorial &gt; 6 Pilares &gt; SA Score &gt; +TQ &gt; FINAL &gt; +Val &gt; COMBINED &gt; Band &gt; Signal</t>
  </si>
  <si>
    <t>2. LOS 6 PILARES</t>
  </si>
  <si>
    <t>METRICAS (sub-pesos)</t>
  </si>
  <si>
    <t>QUE MIDE</t>
  </si>
  <si>
    <t>Beneficios sobre capital y ventas</t>
  </si>
  <si>
    <t>Dinamica de crecimiento</t>
  </si>
  <si>
    <t>Calidad de generacion de caja</t>
  </si>
  <si>
    <t>Valoracion relativa al sector</t>
  </si>
  <si>
    <t>3. PIPELINE V3.1 (SIMPLIFICADO)</t>
  </si>
  <si>
    <t>UBICACION</t>
  </si>
  <si>
    <t>18 metricas financieras (input manual trimestral)</t>
  </si>
  <si>
    <t>6 pilares ponderados por sector = SA Score</t>
  </si>
  <si>
    <t>GUIA DEL MODELO - Generic Equity Scoring V3.1 Simplified</t>
  </si>
  <si>
    <t>ND/EBITDA* (35%) + Current Ratio (30%) + Int Cov (35%)</t>
  </si>
  <si>
    <t>FCF Margin (40%) + FCF/NI (35%) + Capex/Rev* (25%)</t>
  </si>
  <si>
    <t>Fwd P/E* (35%) + EV/EBITDA* (35%) + P/FCF* (30%)</t>
  </si>
  <si>
    <t>Payout reducido al 20% para no penalizar growth</t>
  </si>
  <si>
    <t>* = invertido (menor = mejor). Pesos de pilares varian por sector GICS (ver Generic Parameters).</t>
  </si>
  <si>
    <t>4. METRICAS CLAVE (18 ratios)</t>
  </si>
  <si>
    <t>INTERPRETACION</t>
  </si>
  <si>
    <t>P1: ROE, ROIC, Net Margin</t>
  </si>
  <si>
    <t>Rentabilidad sobre equity, capital invertido y ventas</t>
  </si>
  <si>
    <t>ROE&gt;20%, ROIC&gt;15% excelente</t>
  </si>
  <si>
    <t>P1</t>
  </si>
  <si>
    <t>P2: Rev Gr, EPS Gr, Op Lev</t>
  </si>
  <si>
    <t>Crecimiento 3Y de ingresos, BPA y apalancamiento operativo</t>
  </si>
  <si>
    <t>RevGr&gt;15% alto, OpLev&gt;1x bueno</t>
  </si>
  <si>
    <t>P2</t>
  </si>
  <si>
    <t>P3: ND/EBITDA*, CR, IntCov</t>
  </si>
  <si>
    <t>Deuda/EBITDA, ratio corriente, cobertura de intereses</t>
  </si>
  <si>
    <t>ND/EBITDA&lt;1x solido, IntCov&gt;10x excel</t>
  </si>
  <si>
    <t>P3</t>
  </si>
  <si>
    <t>P4: FCF Mar, FCF/NI, Capex*</t>
  </si>
  <si>
    <t>Margen FCF, conversion a caja, intensidad de capital</t>
  </si>
  <si>
    <t>FCFMar&gt;20% excel, FCF/NI&gt;1x ideal</t>
  </si>
  <si>
    <t>P4</t>
  </si>
  <si>
    <t>P5: FwdPE*, EV/EBITDA*, P/FCF*</t>
  </si>
  <si>
    <t>Multiplos de valoracion (precio vs beneficios/caja)</t>
  </si>
  <si>
    <t>Menor=mejor. * = scoring invertido</t>
  </si>
  <si>
    <t>P5</t>
  </si>
  <si>
    <t>SA Score + TQ (sin Risk Overlay ni Conviction)</t>
  </si>
  <si>
    <t>Dashboard col E</t>
  </si>
  <si>
    <t>6. DCF + Upside</t>
  </si>
  <si>
    <t>DCF 5 anos, Fair Value, Upside pct</t>
  </si>
  <si>
    <t>DCF Simplified + BB</t>
  </si>
  <si>
    <t>7. COMBINED</t>
  </si>
  <si>
    <t>FINAL*60% + Val Score*40%</t>
  </si>
  <si>
    <t>Dashboard col H</t>
  </si>
  <si>
    <t>8. Band + Signal</t>
  </si>
  <si>
    <t>Core A+/A/Satelite/Opcional/Avoid + Senal unificada</t>
  </si>
  <si>
    <t>Dashboard I-K</t>
  </si>
  <si>
    <t>9. Allocation</t>
  </si>
  <si>
    <t>Banda, peso optimo, senal rebalanceo</t>
  </si>
  <si>
    <t>V3.1: Eliminados Risk Overlay y Conviction. Senal unificada. P6 rebalanceado.</t>
  </si>
  <si>
    <t>P6: DivYield, Payout, Buyback</t>
  </si>
  <si>
    <t>Dividendo, ratio de pago, recompras de acciones</t>
  </si>
  <si>
    <t>DivY&gt;3% atractivo, Payout 30-60% optimo</t>
  </si>
  <si>
    <t>P6</t>
  </si>
  <si>
    <t>5. FUENTES Y FRECUENCIA</t>
  </si>
  <si>
    <t>QUE ACTUALIZAR</t>
  </si>
  <si>
    <t>Precio, SMA200, RSI 14, Momentum 6M</t>
  </si>
  <si>
    <t>Yahoo Finance, TradingView</t>
  </si>
  <si>
    <t>Trimestral</t>
  </si>
  <si>
    <t>18 metricas, Fair Value, Trend Quality</t>
  </si>
  <si>
    <t>SEC EDGAR, IR pages, Bloomberg</t>
  </si>
  <si>
    <t>Umbrales sectoriales, recalibracion</t>
  </si>
  <si>
    <t>Analisis propio, Damodaran</t>
  </si>
  <si>
    <t>Primarias: SEC EDGAR, IR pages, Bloomberg, FactSet. Gratuitas: Yahoo Finance, TradingView, Morningstar</t>
  </si>
  <si>
    <t>NBIUS Group</t>
  </si>
  <si>
    <t>Coherent</t>
  </si>
  <si>
    <t>CoreWeave</t>
  </si>
  <si>
    <t>Lam Research</t>
  </si>
  <si>
    <t xml:space="preserve">Rocket Lab </t>
  </si>
  <si>
    <t>Applied Optoelectronics</t>
  </si>
  <si>
    <t>Applied Materials</t>
  </si>
  <si>
    <t>EssilorLuxottica</t>
  </si>
  <si>
    <t>Intel Corporation</t>
  </si>
  <si>
    <t>Astera Labs</t>
  </si>
  <si>
    <t>ARM Holdings</t>
  </si>
  <si>
    <t>MercadoLibre</t>
  </si>
  <si>
    <t>Robinhood Markets</t>
  </si>
  <si>
    <t>Cadence Design Systems</t>
  </si>
  <si>
    <t>Fair Isaac Corporation</t>
  </si>
  <si>
    <t>Adyen NV</t>
  </si>
  <si>
    <t>MSCI</t>
  </si>
  <si>
    <t>Applovin Corporation</t>
  </si>
  <si>
    <t>Seagate Technology Holdings</t>
  </si>
  <si>
    <t>CrowdStrike</t>
  </si>
  <si>
    <t>CME Group</t>
  </si>
  <si>
    <t>Salesforce</t>
  </si>
  <si>
    <t>Shopify</t>
  </si>
  <si>
    <t>Palo Alto Networks</t>
  </si>
  <si>
    <t>ServiceNow</t>
  </si>
  <si>
    <t>Prysmian SPA</t>
  </si>
  <si>
    <t>Topicus.com</t>
  </si>
  <si>
    <t>Fortinet</t>
  </si>
  <si>
    <t>Docusign</t>
  </si>
  <si>
    <t xml:space="preserve">Hims &amp; Hers Health, Inc.	</t>
  </si>
  <si>
    <t>Roper Technologies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</si>
</sst>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0.0%"/>
    <numFmt numFmtId="166" formatCode="\€#,##0"/>
    <numFmt numFmtId="167" formatCode="0.0"/>
  </numFmts>
  <fonts count="31" x14ac:knownFonts="1">
    <font>
      <sz val="11"/>
      <color theme="1"/>
      <name val="Aptos Narrow"/>
      <family val="2"/>
      <scheme val="minor"/>
    </font>
    <font>
      <b/>
      <sz val="11"/>
      <color theme="1"/>
      <name val="Aptos Narrow"/>
      <family val="2"/>
      <scheme val="minor"/>
    </font>
    <font>
      <sz val="11"/>
      <color rgb="FF0000FF"/>
      <name val="Aptos Narrow"/>
      <family val="2"/>
      <scheme val="minor"/>
    </font>
    <font>
      <b/>
      <sz val="11"/>
      <color rgb="FFFFFFFF"/>
      <name val="Aptos Narrow"/>
      <family val="2"/>
      <scheme val="minor"/>
    </font>
    <font>
      <b/>
      <sz val="14"/>
      <color rgb="FFFFFFFF"/>
      <name val="Aptos Narrow"/>
      <family val="2"/>
      <scheme val="minor"/>
    </font>
    <font>
      <i/>
      <sz val="11"/>
      <color rgb="FF404040"/>
      <name val="Aptos Narrow"/>
      <family val="2"/>
      <scheme val="minor"/>
    </font>
    <font>
      <b/>
      <sz val="11"/>
      <color rgb="FFFFFFFF"/>
      <name val="Aptos Narrow"/>
      <family val="2"/>
      <scheme val="minor"/>
    </font>
    <font>
      <sz val="11"/>
      <color rgb="FF0000FF"/>
      <name val="Aptos Narrow"/>
      <family val="2"/>
      <scheme val="minor"/>
    </font>
    <font>
      <sz val="11"/>
      <color theme="1"/>
      <name val="Aptos Narrow"/>
      <family val="2"/>
      <scheme val="minor"/>
    </font>
    <font>
      <b/>
      <sz val="14"/>
      <color rgb="FFFFFFFF"/>
      <name val="Aptos Narrow"/>
      <family val="2"/>
      <scheme val="minor"/>
    </font>
    <font>
      <i/>
      <sz val="10"/>
      <color rgb="FF808080"/>
      <name val="Aptos Narrow"/>
      <family val="2"/>
      <scheme val="minor"/>
    </font>
    <font>
      <i/>
      <sz val="10"/>
      <color rgb="FF808080"/>
      <name val="Aptos Narrow"/>
      <family val="2"/>
      <scheme val="minor"/>
    </font>
    <font>
      <b/>
      <sz val="12"/>
      <color theme="1"/>
      <name val="Aptos Narrow"/>
      <family val="2"/>
      <scheme val="minor"/>
    </font>
    <font>
      <b/>
      <sz val="11"/>
      <color rgb="FF0000FF"/>
      <name val="Aptos Narrow"/>
      <family val="2"/>
      <scheme val="minor"/>
    </font>
    <font>
      <b/>
      <sz val="11"/>
      <name val="Aptos Narrow"/>
      <family val="2"/>
      <scheme val="minor"/>
    </font>
    <font>
      <sz val="11"/>
      <name val="Aptos Narrow"/>
      <family val="2"/>
      <scheme val="minor"/>
    </font>
    <font>
      <b/>
      <sz val="14"/>
      <color theme="1"/>
      <name val="Aptos Narrow"/>
      <family val="2"/>
      <scheme val="minor"/>
    </font>
    <font>
      <i/>
      <sz val="11"/>
      <color rgb="FF666666"/>
      <name val="Aptos Narrow"/>
      <family val="2"/>
      <scheme val="minor"/>
    </font>
    <font>
      <sz val="11"/>
      <color rgb="FF006100"/>
      <name val="Aptos Narrow"/>
      <family val="2"/>
      <scheme val="minor"/>
    </font>
    <font>
      <sz val="11"/>
      <color rgb="FF9C0006"/>
      <name val="Aptos Narrow"/>
      <family val="2"/>
      <scheme val="minor"/>
    </font>
    <font>
      <sz val="11"/>
      <color rgb="FF000000"/>
      <name val="Aptos Narrow"/>
      <family val="2"/>
      <scheme val="minor"/>
    </font>
    <font>
      <sz val="11"/>
      <color rgb="FFFFFFFF"/>
      <name val="Aptos Narrow"/>
      <family val="2"/>
      <scheme val="minor"/>
    </font>
    <font>
      <sz val="11"/>
      <color rgb="FF9C6500"/>
      <name val="Aptos Narrow"/>
      <family val="2"/>
      <scheme val="minor"/>
    </font>
    <font>
      <b/>
      <sz val="11"/>
      <color rgb="FFC00000"/>
      <name val="Aptos Narrow"/>
      <family val="2"/>
      <scheme val="minor"/>
    </font>
    <font>
      <b/>
      <sz val="11"/>
      <color rgb="FFFFFFFF"/>
      <name val="Aptos Narrow"/>
      <family val="2"/>
      <scheme val="minor"/>
    </font>
    <font>
      <sz val="11"/>
      <color rgb="FF008000"/>
      <name val="Aptos Narrow"/>
      <family val="2"/>
      <scheme val="minor"/>
    </font>
    <font>
      <i/>
      <sz val="8"/>
      <color rgb="FF808080"/>
      <name val="Aptos Narrow"/>
      <family val="2"/>
      <scheme val="minor"/>
    </font>
    <font>
      <sz val="9"/>
      <color indexed="81"/>
      <name val="Tahoma"/>
      <family val="2"/>
    </font>
    <font>
      <b/>
      <sz val="9"/>
      <color indexed="81"/>
      <name val="Tahoma"/>
      <family val="2"/>
    </font>
    <font>
      <b/>
      <sz val="12"/>
      <color rgb="FF1F4E79"/>
      <name val="Aptos Narrow"/>
      <family val="2"/>
      <scheme val="minor"/>
    </font>
    <font>
      <i/>
      <sz val="11"/>
      <color rgb="FF808080"/>
      <name val="Aptos Narrow"/>
      <family val="2"/>
      <scheme val="minor"/>
    </font>
  </fonts>
  <fills count="20">
    <fill>
      <patternFill patternType="none"/>
    </fill>
    <fill>
      <patternFill patternType="gray125"/>
    </fill>
    <fill>
      <patternFill patternType="solid">
        <fgColor rgb="FFD6E4F0"/>
        <bgColor indexed="64"/>
      </patternFill>
    </fill>
    <fill>
      <patternFill patternType="solid">
        <fgColor rgb="FF2F5496"/>
        <bgColor indexed="64"/>
      </patternFill>
    </fill>
    <fill>
      <patternFill patternType="solid">
        <fgColor rgb="FF4472C4"/>
        <bgColor indexed="64"/>
      </patternFill>
    </fill>
    <fill>
      <patternFill patternType="solid">
        <fgColor rgb="FF548235"/>
        <bgColor indexed="64"/>
      </patternFill>
    </fill>
    <fill>
      <patternFill patternType="solid">
        <fgColor rgb="FFBF8F00"/>
        <bgColor indexed="64"/>
      </patternFill>
    </fill>
    <fill>
      <patternFill patternType="solid">
        <fgColor rgb="FFC00000"/>
        <bgColor indexed="64"/>
      </patternFill>
    </fill>
    <fill>
      <patternFill patternType="solid">
        <fgColor rgb="FF7030A0"/>
        <bgColor indexed="64"/>
      </patternFill>
    </fill>
    <fill>
      <patternFill patternType="solid">
        <fgColor rgb="FF002060"/>
        <bgColor indexed="64"/>
      </patternFill>
    </fill>
    <fill>
      <patternFill patternType="solid">
        <fgColor rgb="FF1F4E79"/>
        <bgColor indexed="64"/>
      </patternFill>
    </fill>
    <fill>
      <patternFill patternType="solid">
        <fgColor rgb="FFFFFF00"/>
        <bgColor indexed="64"/>
      </patternFill>
    </fill>
    <fill>
      <patternFill patternType="solid">
        <fgColor rgb="FF333333"/>
        <bgColor indexed="64"/>
      </patternFill>
    </fill>
    <fill>
      <patternFill patternType="solid">
        <fgColor rgb="FF2E75B6"/>
        <bgColor indexed="64"/>
      </patternFill>
    </fill>
    <fill>
      <patternFill patternType="solid">
        <fgColor rgb="FF7F6000"/>
        <bgColor indexed="64"/>
      </patternFill>
    </fill>
    <fill>
      <patternFill patternType="solid">
        <fgColor rgb="FF00B050"/>
        <bgColor indexed="64"/>
      </patternFill>
    </fill>
    <fill>
      <patternFill patternType="solid">
        <fgColor rgb="FFFFEB9C"/>
        <bgColor indexed="64"/>
      </patternFill>
    </fill>
    <fill>
      <patternFill patternType="solid">
        <fgColor rgb="FFFFC000"/>
        <bgColor indexed="64"/>
      </patternFill>
    </fill>
    <fill>
      <patternFill patternType="solid">
        <fgColor rgb="FFC6EFCE"/>
        <bgColor indexed="64"/>
      </patternFill>
    </fill>
    <fill>
      <patternFill patternType="solid">
        <fgColor rgb="FFFFC7CE"/>
        <bgColor indexed="64"/>
      </patternFill>
    </fill>
  </fills>
  <borders count="1">
    <border>
      <left/>
      <right/>
      <top/>
      <bottom/>
      <diagonal/>
    </border>
  </borders>
  <cellStyleXfs count="1">
    <xf numFmtId="0" fontId="0" fillId="0" borderId="0"/>
  </cellStyleXfs>
  <cellXfs count="72">
    <xf numFmtId="0" fontId="0" fillId="0" borderId="0" xfId="0"/>
    <xf numFmtId="9" fontId="0" fillId="0" borderId="0" xfId="0" applyNumberFormat="1"/>
    <xf numFmtId="0" fontId="4" fillId="3" borderId="0" xfId="0" applyFont="1" applyFill="1"/>
    <xf numFmtId="0" fontId="5" fillId="0" borderId="0" xfId="0" applyFont="1"/>
    <xf numFmtId="0" fontId="1" fillId="2" borderId="0" xfId="0" applyFont="1" applyFill="1"/>
    <xf numFmtId="0" fontId="3" fillId="4" borderId="0" xfId="0" applyFont="1" applyFill="1"/>
    <xf numFmtId="0" fontId="3" fillId="5" borderId="0" xfId="0" applyFont="1" applyFill="1"/>
    <xf numFmtId="0" fontId="3" fillId="7" borderId="0" xfId="0" applyFont="1" applyFill="1"/>
    <xf numFmtId="0" fontId="3" fillId="4" borderId="0" xfId="0" applyFont="1" applyFill="1" applyAlignment="1">
      <alignment horizontal="center"/>
    </xf>
    <xf numFmtId="0" fontId="3" fillId="5" borderId="0" xfId="0" applyFont="1" applyFill="1" applyAlignment="1">
      <alignment horizontal="center"/>
    </xf>
    <xf numFmtId="0" fontId="3" fillId="6" borderId="0" xfId="0" applyFont="1" applyFill="1" applyAlignment="1">
      <alignment horizontal="center"/>
    </xf>
    <xf numFmtId="0" fontId="3" fillId="7" borderId="0" xfId="0" applyFont="1" applyFill="1" applyAlignment="1">
      <alignment horizontal="center"/>
    </xf>
    <xf numFmtId="0" fontId="2" fillId="0" borderId="0" xfId="0" applyFont="1"/>
    <xf numFmtId="0" fontId="6" fillId="8" borderId="0" xfId="0" applyFont="1" applyFill="1" applyAlignment="1">
      <alignment horizontal="center"/>
    </xf>
    <xf numFmtId="0" fontId="6" fillId="9" borderId="0" xfId="0" applyFont="1" applyFill="1" applyAlignment="1">
      <alignment horizontal="center"/>
    </xf>
    <xf numFmtId="0" fontId="7" fillId="0" borderId="0" xfId="0" applyFont="1"/>
    <xf numFmtId="0" fontId="8" fillId="0" borderId="0" xfId="0" applyFont="1"/>
    <xf numFmtId="165" fontId="8" fillId="0" borderId="0" xfId="0" applyNumberFormat="1" applyFont="1"/>
    <xf numFmtId="165" fontId="0" fillId="0" borderId="0" xfId="0" applyNumberFormat="1"/>
    <xf numFmtId="0" fontId="9" fillId="10" borderId="0" xfId="0" applyFont="1" applyFill="1"/>
    <xf numFmtId="0" fontId="10" fillId="0" borderId="0" xfId="0" applyFont="1"/>
    <xf numFmtId="0" fontId="6" fillId="4" borderId="0" xfId="0" applyFont="1" applyFill="1"/>
    <xf numFmtId="0" fontId="6" fillId="4" borderId="0" xfId="0" applyFont="1" applyFill="1" applyAlignment="1">
      <alignment horizontal="center"/>
    </xf>
    <xf numFmtId="0" fontId="7" fillId="0" borderId="0" xfId="0" applyFont="1" applyAlignment="1">
      <alignment horizontal="center"/>
    </xf>
    <xf numFmtId="0" fontId="2" fillId="0" borderId="0" xfId="0" applyFont="1" applyAlignment="1">
      <alignment horizontal="center"/>
    </xf>
    <xf numFmtId="0" fontId="1" fillId="0" borderId="0" xfId="0" applyFont="1"/>
    <xf numFmtId="0" fontId="4" fillId="10" borderId="0" xfId="0" applyFont="1" applyFill="1"/>
    <xf numFmtId="0" fontId="11" fillId="0" borderId="0" xfId="0" applyFont="1"/>
    <xf numFmtId="0" fontId="8" fillId="0" borderId="0" xfId="0" applyFont="1" applyAlignment="1">
      <alignment horizontal="center"/>
    </xf>
    <xf numFmtId="0" fontId="12" fillId="0" borderId="0" xfId="0" applyFont="1"/>
    <xf numFmtId="166" fontId="13" fillId="0" borderId="0" xfId="0" applyNumberFormat="1" applyFont="1"/>
    <xf numFmtId="165" fontId="2" fillId="0" borderId="0" xfId="0" applyNumberFormat="1" applyFont="1"/>
    <xf numFmtId="166" fontId="2" fillId="0" borderId="0" xfId="0" applyNumberFormat="1" applyFont="1"/>
    <xf numFmtId="167" fontId="0" fillId="0" borderId="0" xfId="0" applyNumberFormat="1"/>
    <xf numFmtId="1" fontId="0" fillId="0" borderId="0" xfId="0" applyNumberFormat="1"/>
    <xf numFmtId="164" fontId="0" fillId="0" borderId="0" xfId="0" applyNumberFormat="1"/>
    <xf numFmtId="0" fontId="14" fillId="11" borderId="0" xfId="0" applyFont="1" applyFill="1" applyAlignment="1">
      <alignment horizontal="center"/>
    </xf>
    <xf numFmtId="0" fontId="0" fillId="0" borderId="0" xfId="0" applyAlignment="1">
      <alignment horizontal="center"/>
    </xf>
    <xf numFmtId="0" fontId="15" fillId="0" borderId="0" xfId="0" applyFont="1"/>
    <xf numFmtId="0" fontId="16" fillId="0" borderId="0" xfId="0" applyFont="1"/>
    <xf numFmtId="0" fontId="17" fillId="0" borderId="0" xfId="0" applyFont="1"/>
    <xf numFmtId="0" fontId="3" fillId="12" borderId="0" xfId="0" applyFont="1" applyFill="1"/>
    <xf numFmtId="0" fontId="3" fillId="10" borderId="0" xfId="0" applyFont="1" applyFill="1"/>
    <xf numFmtId="0" fontId="3" fillId="13" borderId="0" xfId="0" applyFont="1" applyFill="1"/>
    <xf numFmtId="0" fontId="3" fillId="14" borderId="0" xfId="0" applyFont="1" applyFill="1"/>
    <xf numFmtId="3" fontId="2" fillId="0" borderId="0" xfId="0" applyNumberFormat="1" applyFont="1"/>
    <xf numFmtId="3" fontId="0" fillId="0" borderId="0" xfId="0" applyNumberFormat="1"/>
    <xf numFmtId="0" fontId="3" fillId="8" borderId="0" xfId="0" applyFont="1" applyFill="1"/>
    <xf numFmtId="0" fontId="3" fillId="9" borderId="0" xfId="0" applyFont="1" applyFill="1" applyAlignment="1">
      <alignment horizontal="center"/>
    </xf>
    <xf numFmtId="0" fontId="21" fillId="15" borderId="0" xfId="0" applyFont="1" applyFill="1"/>
    <xf numFmtId="0" fontId="22" fillId="16" borderId="0" xfId="0" applyFont="1" applyFill="1"/>
    <xf numFmtId="0" fontId="20" fillId="17" borderId="0" xfId="0" applyFont="1" applyFill="1"/>
    <xf numFmtId="0" fontId="18" fillId="18" borderId="0" xfId="0" applyFont="1" applyFill="1"/>
    <xf numFmtId="0" fontId="19" fillId="19" borderId="0" xfId="0" applyFont="1" applyFill="1"/>
    <xf numFmtId="0" fontId="24" fillId="9" borderId="0" xfId="0" applyFont="1" applyFill="1" applyAlignment="1">
      <alignment horizontal="center"/>
    </xf>
    <xf numFmtId="2" fontId="25" fillId="0" borderId="0" xfId="0" applyNumberFormat="1" applyFont="1" applyAlignment="1">
      <alignment horizontal="center"/>
    </xf>
    <xf numFmtId="0" fontId="26" fillId="0" borderId="0" xfId="0" applyFont="1" applyAlignment="1">
      <alignment horizontal="center"/>
    </xf>
    <xf numFmtId="165" fontId="8" fillId="0" borderId="0" xfId="0" applyNumberFormat="1" applyFont="1" applyAlignment="1">
      <alignment horizontal="center"/>
    </xf>
    <xf numFmtId="165" fontId="0" fillId="0" borderId="0" xfId="0" applyNumberFormat="1" applyAlignment="1">
      <alignment horizontal="center"/>
    </xf>
    <xf numFmtId="4" fontId="7" fillId="0" borderId="0" xfId="0" applyNumberFormat="1" applyFont="1" applyAlignment="1">
      <alignment horizontal="center"/>
    </xf>
    <xf numFmtId="4" fontId="0" fillId="0" borderId="0" xfId="0" applyNumberFormat="1" applyAlignment="1">
      <alignment horizontal="center"/>
    </xf>
    <xf numFmtId="3" fontId="7" fillId="0" borderId="0" xfId="0" applyNumberFormat="1" applyFont="1" applyAlignment="1">
      <alignment horizontal="center"/>
    </xf>
    <xf numFmtId="0" fontId="29" fillId="0" borderId="0" xfId="0" applyFont="1"/>
    <xf numFmtId="0" fontId="30" fillId="0" borderId="0" xfId="0" applyFont="1"/>
    <xf numFmtId="0" fontId="23" fillId="0" borderId="0" xfId="0" applyFont="1"/>
    <xf numFmtId="0" fontId="3" fillId="8" borderId="0" xfId="0" applyFont="1" applyFill="1" applyAlignment="1">
      <alignment horizontal="center"/>
    </xf>
    <xf numFmtId="0" fontId="3" fillId="7" borderId="0" xfId="0" applyFont="1" applyFill="1" applyAlignment="1">
      <alignment horizontal="center"/>
    </xf>
    <xf numFmtId="0" fontId="4" fillId="3" borderId="0" xfId="0" applyFont="1" applyFill="1" applyAlignment="1">
      <alignment horizontal="center"/>
    </xf>
    <xf numFmtId="0" fontId="3" fillId="6" borderId="0" xfId="0" applyFont="1" applyFill="1" applyAlignment="1">
      <alignment horizontal="center"/>
    </xf>
    <xf numFmtId="0" fontId="3" fillId="5" borderId="0" xfId="0" applyFont="1" applyFill="1" applyAlignment="1">
      <alignment horizontal="center"/>
    </xf>
    <xf numFmtId="0" fontId="6" fillId="8" borderId="0" xfId="0" applyFont="1" applyFill="1" applyAlignment="1">
      <alignment horizontal="center"/>
    </xf>
    <xf numFmtId="0" fontId="6" fillId="7" borderId="0" xfId="0" applyFont="1" applyFill="1" applyAlignment="1">
      <alignment horizontal="center"/>
    </xf>
  </cellXfs>
  <cellStyles count="1">
    <cellStyle name="Normal" xfId="0" builtinId="0"/>
  </cellStyles>
  <dxfs count="15">
    <dxf>
      <font>
        <color rgb="FF9C0006"/>
      </font>
      <fill>
        <patternFill patternType="solid">
          <fgColor indexed="64"/>
          <bgColor rgb="FFFFC7CE"/>
        </patternFill>
      </fill>
    </dxf>
    <dxf>
      <font>
        <color rgb="FF000000"/>
      </font>
      <fill>
        <patternFill patternType="solid">
          <fgColor indexed="64"/>
          <bgColor rgb="FFFFC000"/>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FFFFFF"/>
      </font>
      <fill>
        <patternFill patternType="solid">
          <fgColor indexed="64"/>
          <bgColor rgb="FF00B050"/>
        </patternFill>
      </fill>
    </dxf>
    <dxf>
      <font>
        <color rgb="FF9C0006"/>
      </font>
      <fill>
        <patternFill patternType="solid">
          <fgColor indexed="64"/>
          <bgColor rgb="FFFFC7CE"/>
        </patternFill>
      </fill>
    </dxf>
    <dxf>
      <font>
        <color rgb="FF000000"/>
      </font>
      <fill>
        <patternFill patternType="solid">
          <fgColor indexed="64"/>
          <bgColor rgb="FFFFC000"/>
        </patternFill>
      </fill>
    </dxf>
    <dxf>
      <font>
        <color rgb="FF9C6500"/>
      </font>
      <fill>
        <patternFill patternType="solid">
          <fgColor indexed="64"/>
          <bgColor rgb="FFFFEB9C"/>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000000"/>
      </font>
      <fill>
        <patternFill patternType="solid">
          <fgColor indexed="64"/>
          <bgColor rgb="FFFFC000"/>
        </patternFill>
      </fill>
    </dxf>
    <dxf>
      <font>
        <color rgb="FF9C6500"/>
      </font>
      <fill>
        <patternFill patternType="solid">
          <fgColor indexed="64"/>
          <bgColor rgb="FFFFEB9C"/>
        </patternFill>
      </fill>
    </dxf>
    <dxf>
      <font>
        <color rgb="FF006100"/>
      </font>
      <fill>
        <patternFill patternType="solid">
          <fgColor indexed="64"/>
          <bgColor rgb="FFC6EFCE"/>
        </patternFill>
      </fill>
    </dxf>
    <dxf>
      <font>
        <color rgb="FFFFFFFF"/>
      </font>
      <fill>
        <patternFill patternType="solid">
          <fgColor indexed="64"/>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06/relationships/rdRichValue" Target="richData/rdrichvalu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openxmlformats.org/officeDocument/2006/relationships/sharedStrings" Target="sharedString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ichStyles" Target="richData/rich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Avg Score by Sector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clustered"/>
        <c:varyColors val="0"/>
        <c:ser>
          <c:idx val="0"/>
          <c:order val="0"/>
          <c:tx>
            <c:strRef>
              <c:f>'Generic Dashboard'!$E$71</c:f>
              <c:strCache>
                <c:ptCount val="1"/>
              </c:strCache>
            </c:strRef>
          </c:tx>
          <c:spPr>
            <a:solidFill>
              <a:schemeClr val="accent1"/>
            </a:solidFill>
            <a:ln>
              <a:noFill/>
            </a:ln>
            <a:effectLst/>
          </c:spPr>
          <c:invertIfNegative val="0"/>
          <c:cat>
            <c:multiLvlStrRef>
              <c:f>'Generic Dashboard'!$D$72:$D$82</c:f>
            </c:multiLvlStrRef>
          </c:cat>
          <c:val>
            <c:numRef>
              <c:f>'Generic Dashboard'!$E$72:$E$82</c:f>
            </c:numRef>
          </c:val>
          <c:extLst>
            <c:ext xmlns:c16="http://schemas.microsoft.com/office/drawing/2014/chart" uri="{C3380CC4-5D6E-409C-BE32-E72D297353CC}">
              <c16:uniqueId val="{00000000-B151-4D0A-9E14-9BCEEC31DA0A}"/>
            </c:ext>
          </c:extLst>
        </c:ser>
        <c:dLbls>
          <c:showLegendKey val="0"/>
          <c:showVal val="0"/>
          <c:showCatName val="0"/>
          <c:showSerName val="0"/>
          <c:showPercent val="0"/>
          <c:showBubbleSize val="0"/>
        </c:dLbls>
        <c:gapWidth val="182"/>
        <c:axId val="1005929616"/>
        <c:axId val="1005930096"/>
      </c:barChart>
      <c:catAx>
        <c:axId val="1005929616"/>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05930096"/>
        <c:crosses val="autoZero"/>
        <c:auto val="1"/>
        <c:lblAlgn val="ctr"/>
        <c:lblOffset val="100"/>
        <c:noMultiLvlLbl val="0"/>
      </c:catAx>
      <c:valAx>
        <c:axId val="100593009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0592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Pillar Strength Profile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radarChart>
        <c:radarStyle val="filled"/>
        <c:varyColors val="0"/>
        <c:ser>
          <c:idx val="0"/>
          <c:order val="0"/>
          <c:tx>
            <c:strRef>
              <c:f>'Generic Dashboard'!$I$71</c:f>
              <c:strCache>
                <c:ptCount val="1"/>
              </c:strCache>
            </c:strRef>
          </c:tx>
          <c:spPr>
            <a:solidFill>
              <a:schemeClr val="accent1"/>
            </a:solidFill>
            <a:ln>
              <a:noFill/>
            </a:ln>
            <a:effectLst/>
          </c:spPr>
          <c:cat>
            <c:multiLvlStrRef>
              <c:f>'Generic Dashboard'!$G$72:$G$77</c:f>
            </c:multiLvlStrRef>
          </c:cat>
          <c:val>
            <c:numRef>
              <c:f>'Generic Dashboard'!$I$72:$I$77</c:f>
            </c:numRef>
          </c:val>
          <c:extLst>
            <c:ext xmlns:c16="http://schemas.microsoft.com/office/drawing/2014/chart" uri="{C3380CC4-5D6E-409C-BE32-E72D297353CC}">
              <c16:uniqueId val="{00000000-9860-4F7C-AFD7-D7E4398F4974}"/>
            </c:ext>
          </c:extLst>
        </c:ser>
        <c:dLbls>
          <c:showLegendKey val="0"/>
          <c:showVal val="0"/>
          <c:showCatName val="0"/>
          <c:showSerName val="0"/>
          <c:showPercent val="0"/>
          <c:showBubbleSize val="0"/>
        </c:dLbls>
        <c:axId val="1005943056"/>
        <c:axId val="1005944016"/>
      </c:radarChart>
      <c:catAx>
        <c:axId val="10059430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05944016"/>
        <c:crosses val="autoZero"/>
        <c:auto val="1"/>
        <c:lblAlgn val="ctr"/>
        <c:lblOffset val="100"/>
        <c:noMultiLvlLbl val="0"/>
      </c:catAx>
      <c:valAx>
        <c:axId val="1005944016"/>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0594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Quality × Valuation Matrix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scatterChart>
        <c:scatterStyle val="lineMarker"/>
        <c:varyColors val="0"/>
        <c:ser>
          <c:idx val="0"/>
          <c:order val="0"/>
          <c:tx>
            <c:strRef>
              <c:f>'Generic Dashboard'!$L$71</c:f>
              <c:strCache>
                <c:ptCount val="1"/>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'Generic Dashboard'!$K$72:$K$106</c:f>
              <c:numCache>
                <c:formatCode>General</c:formatCode>
                <c:ptCount val="20"/>
              </c:numCache>
            </c:numRef>
          </c:xVal>
          <c:yVal>
            <c:numRef>
              <c:f>'Generic Dashboard'!$L$72:$L$106</c:f>
              <c:numCache>
                <c:formatCode>General</c:formatCode>
                <c:ptCount val="20"/>
              </c:numCache>
            </c:numRef>
          </c:yVal>
          <c:smooth val="0"/>
          <c:extLst>
            <c:ext xmlns:c16="http://schemas.microsoft.com/office/drawing/2014/chart" uri="{C3380CC4-5D6E-409C-BE32-E72D297353CC}">
              <c16:uniqueId val="{00000000-DD19-40C0-A67C-194A05643D0E}"/>
            </c:ext>
          </c:extLst>
        </c:ser>
        <c:ser>
          <c:idx val="1"/>
          <c:order val="1"/>
          <c:tx>
            <c:strRef>
              <c:f>'Generic Dashboard'!$M$71</c:f>
              <c:strCache>
                <c:ptCount val="1"/>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'Generic Dashboard'!$K$72:$K$106</c:f>
              <c:numCache>
                <c:formatCode>General</c:formatCode>
                <c:ptCount val="20"/>
              </c:numCache>
            </c:numRef>
          </c:xVal>
          <c:yVal>
            <c:numRef>
              <c:f>'Generic Dashboard'!$M$72:$M$106</c:f>
              <c:numCache>
                <c:formatCode>General</c:formatCode>
                <c:ptCount val="20"/>
              </c:numCache>
            </c:numRef>
          </c:yVal>
          <c:smooth val="0"/>
          <c:extLst>
            <c:ext xmlns:c16="http://schemas.microsoft.com/office/drawing/2014/chart" uri="{C3380CC4-5D6E-409C-BE32-E72D297353CC}">
              <c16:uniqueId val="{00000001-DD19-40C0-A67C-194A05643D0E}"/>
            </c:ext>
          </c:extLst>
        </c:ser>
        <c:dLbls>
          <c:showLegendKey val="0"/>
          <c:showVal val="0"/>
          <c:showCatName val="0"/>
          <c:showSerName val="0"/>
          <c:showPercent val="0"/>
          <c:showBubbleSize val="0"/>
        </c:dLbls>
        <c:axId val="1005950256"/>
        <c:axId val="1005950736"/>
      </c:scatterChart>
      <c:valAx>
        <c:axId val="1005950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05950736"/>
        <c:crosses val="autoZero"/>
        <c:crossBetween val="midCat"/>
      </c:valAx>
      <c:valAx>
        <c:axId val="100595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059502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69</xdr:row>
      <xdr:rowOff>0</xdr:rowOff>
    </xdr:from>
    <xdr:to>
      <xdr:col>9</xdr:col>
      <xdr:colOff>174172</xdr:colOff>
      <xdr:row>100</xdr:row>
      <xdr:rowOff>152400</xdr:rowOff>
    </xdr:to>
    <xdr:graphicFrame macro="">
      <xdr:nvGraphicFramePr>
        <xdr:cNvPr id="3" name="Gráfico 2">
          <a:extLst>
            <a:ext uri="{FF2B5EF4-FFF2-40B4-BE49-F238E27FC236}">
              <a16:creationId xmlns:a16="http://schemas.microsoft.com/office/drawing/2014/main" id="{9BBA7B77-8132-9FC7-76EF-30C72404A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789214</xdr:colOff>
      <xdr:row>69</xdr:row>
      <xdr:rowOff>0</xdr:rowOff>
    </xdr:from>
    <xdr:to>
      <xdr:col>12</xdr:col>
      <xdr:colOff>255814</xdr:colOff>
      <xdr:row>100</xdr:row>
      <xdr:rowOff>152400</xdr:rowOff>
    </xdr:to>
    <xdr:graphicFrame macro="">
      <xdr:nvGraphicFramePr>
        <xdr:cNvPr id="5" name="Gráfico 4">
          <a:extLst>
            <a:ext uri="{FF2B5EF4-FFF2-40B4-BE49-F238E27FC236}">
              <a16:creationId xmlns:a16="http://schemas.microsoft.com/office/drawing/2014/main" id="{0835D38A-DAF9-BBB1-DCC8-BD638BB62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xdr:colOff>
      <xdr:row>69</xdr:row>
      <xdr:rowOff>0</xdr:rowOff>
    </xdr:from>
    <xdr:to>
      <xdr:col>15</xdr:col>
      <xdr:colOff>707572</xdr:colOff>
      <xdr:row>100</xdr:row>
      <xdr:rowOff>152400</xdr:rowOff>
    </xdr:to>
    <xdr:graphicFrame macro="">
      <xdr:nvGraphicFramePr>
        <xdr:cNvPr id="9" name="Gráfico 8">
          <a:extLst>
            <a:ext uri="{FF2B5EF4-FFF2-40B4-BE49-F238E27FC236}">
              <a16:creationId xmlns:a16="http://schemas.microsoft.com/office/drawing/2014/main" id="{91C8F067-4B6E-BE09-112B-B9442A297D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Francisco Pinillos" id="{3EA32AB0-9C3E-47C2-8A06-41F43FED5073}" userId="177369afe0b533fe"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92">
  <rv s="0">
    <v>https://www.bing.com/financeapi/forcetrigger?t=a1yv52&amp;q=XNAS%3aNVDA&amp;form=skydnc</v>
    <v>Learn more on Bing</v>
  </rv>
  <rv s="1">
    <v>es-ES</v>
    <v>a1yv52</v>
    <v>268435456</v>
    <v>1</v>
    <v>Con tecnología de Refinitiv</v>
    <v>0</v>
    <v>1</v>
    <v>NVIDIA CORPORATION (XNAS:NVDA)</v>
    <v>3</v>
    <v>4</v>
    <v>Finance</v>
    <v>5</v>
    <v>XNAS</v>
    <v>24300000000</v>
    <v>1998</v>
    <v>176.07</v>
    <v>2.3393000000000002</v>
    <v>-7.44</v>
    <v>-4.1639000000000002E-2</v>
    <v>4161132000000</v>
    <v>178.68</v>
    <v>NVIDIA Corporation es una empresa de infraestructura de computación completa. La Compañía se dedica a la computación acelerada para ayudar a resolver los problemas computacionales desafiantes. Los segmentos de la Compañía incluyen Compute &amp; Networking y Gráficos. El segmento Compute &amp; Networking incluye sus plataformas de computación acelerada de centros de datos y soluciones y software de inteligencia artificial (IA); redes; plataformas automotrices y soluciones de vehículos autónomos y eléctricos; Jetson para robótica y otras plataformas integradas, y servicios de computación en la nube DGX. El segmento de gráficos incluye GPU GeForce para juegos y PC, el servicio de streaming de juegos GeForce NOW e infraestructura relacionada, y soluciones para plataformas de juegos; GPU Quadro/NVIDIA RTX para gráficos de estaciones de trabajo empresariales; software de GPU virtual para computación visual y virtual basada en la nube; plataformas automotrices para sistemas de infoentretenimiento y software Omniverse Enterprise para construir y operar aplicaciones industriales de IA y gemelas digitales.</v>
    <v>42000</v>
    <v>XNAS</v>
    <v>46107.999994895312</v>
    <v>Nasdaq Stock Market</v>
    <v>0</v>
    <v>176.51</v>
    <v>212.18989999999999</v>
    <v>171.14</v>
    <v>86.62</v>
    <v>USD</v>
    <v>NVIDIA CORPORATION</v>
    <v>NVIDIA CORPORATION</v>
    <v>34.9345</v>
    <v>171.24</v>
    <v>Semiconductors &amp; Semiconductor Equipment</v>
    <v>2788 San Tomas Expressway, SANTA CLARA, CA, 95051 US</v>
    <v>NVDA</v>
    <v>Acciones</v>
    <v>NVIDIA CORPORATION (XNAS:NVDA)</v>
    <v>652703</v>
    <v>192309782</v>
  </rv>
  <rv s="2">
    <v>1</v>
  </rv>
  <rv s="0">
    <v>https://www.bing.com/financeapi/forcetrigger?t=a1w8ec&amp;q=XNYS%3aJNJ&amp;form=skydnc</v>
    <v>Learn more on Bing</v>
  </rv>
  <rv s="1">
    <v>es-ES</v>
    <v>a1w8ec</v>
    <v>268435456</v>
    <v>1</v>
    <v>Con tecnología de Refinitiv</v>
    <v>0</v>
    <v>1</v>
    <v>JOHNSON &amp; JOHNSON (XNYS:JNJ)</v>
    <v>3</v>
    <v>4</v>
    <v>Finance</v>
    <v>5</v>
    <v>XNYS</v>
    <v>2408613000</v>
    <v>1887</v>
    <v>240</v>
    <v>0.33800000000000002</v>
    <v>-0.69</v>
    <v>-2.8760000000000001E-3</v>
    <v>576236574120</v>
    <v>239.93</v>
    <v>Johnson &amp; Johnson y sus subsidiarias se dedican a la investigación y desarrollo, fabricación y venta de una gama de productos en el campo de la salud. Los segmentos de la compañía incluyen Medicina Innovadora y MedTech. El segmento de Medicina Innovadora se centra en varias áreas terapéuticas, incluyendo inmunología, enfermedades infecciosas, neurociencia, oncología, etc. hipertensión pulmonar, cardiovascular y metabolismo. Sus productos incluyen REMICADE (infliximab), SIMPONI (golimumab), SIMPONI ARIA (golimumab), STELARA (ustekinumab), TREMFYA (guselkumab), EDURANT (rilpivirina) e INVEGA SUSTENNA/XEPLION (palmitato de paliperidona). El segmento MedTech incluye una cartera de productos utilizados en las categorías cardiovascular, ortopedia, cirugía y visión. El portafolio cardiovascular incluye productos de electrofisiología para tratar trastornos del ritmo cardíaco y productos de restauración circulatoria (Shockwave) para el tratamiento de la enfermedad arterial coronaria calcificada (EAC) y la enfermedad arterial periférica (EAP).</v>
    <v>138200</v>
    <v>XNYS</v>
    <v>46107.999597823436</v>
    <v>New York Stock Exchange</v>
    <v>3</v>
    <v>241.65350000000001</v>
    <v>251.71</v>
    <v>238.93</v>
    <v>141.5</v>
    <v>USD</v>
    <v>JOHNSON &amp; JOHNSON</v>
    <v>JOHNSON &amp; JOHNSON</v>
    <v>21.6661</v>
    <v>239.24</v>
    <v>Pharmaceuticals</v>
    <v>One Johnson &amp; Johnson Plaza, NEW BRUNSWICK, NJ, 08933 US</v>
    <v>JNJ</v>
    <v>Acciones</v>
    <v>JOHNSON &amp; JOHNSON (XNYS:JNJ)</v>
    <v>243</v>
    <v>8484037</v>
  </rv>
  <rv s="2">
    <v>4</v>
  </rv>
  <rv s="0">
    <v>https://www.bing.com/financeapi/forcetrigger?t=a269ec&amp;q=XNYS%3aXOM&amp;form=skydnc</v>
    <v>Learn more on Bing</v>
  </rv>
  <rv s="1">
    <v>es-ES</v>
    <v>a269ec</v>
    <v>268435456</v>
    <v>1</v>
    <v>Con tecnología de Refinitiv</v>
    <v>0</v>
    <v>1</v>
    <v>EXXON MOBIL CORPORATION (XNYS:XOM)</v>
    <v>3</v>
    <v>4</v>
    <v>Finance</v>
    <v>5</v>
    <v>XNYS</v>
    <v>4166764000</v>
    <v>1882</v>
    <v>164.09</v>
    <v>0.31740000000000002</v>
    <v>2.17</v>
    <v>1.3292E-2</v>
    <v>689307768520</v>
    <v>163.26</v>
    <v>Exxon Mobil Corporation es un proveedor de energía y fabricante de productos químicos. El negocio principal de la Compañía consiste en la exploración y producción de petróleo crudo y gas natural; la fabricación, comercio, transporte y venta de petróleo crudo, gas natural, productos petroquímicos y una amplia variedad de productos especiales; y la búsqueda de bajas emisiones y otras nuevas oportunidades de negocios, incluyendo captura y almacenamiento de carbono, hidrógeno, combustibles de bajas emisiones, sistemas Proxxima, materiales de carbono, etc. y litio. Su segmento ascendente explora y produce petróleo crudo y gas natural. Los segmentos de productos energéticos, productos químicos y productos especializados fabrican y venden productos petrolíferos y petroquímicos. El segmento de productos energéticos incluye combustibles, aromáticos, catalizadores y licencias. El segmento de productos químicos consiste en olefinas, poliolefinas e intermedios. El segmento de Productos Especiales incluye lubricantes terminados, ceras y depósitos base, sintéticos, elastómeros y resinas.</v>
    <v>58000</v>
    <v>XNYS</v>
    <v>46107.999942291404</v>
    <v>New York Stock Exchange</v>
    <v>6</v>
    <v>165.68</v>
    <v>167.48</v>
    <v>162.06</v>
    <v>97.8</v>
    <v>USD</v>
    <v>EXXON MOBIL CORPORATION</v>
    <v>EXXON MOBIL CORPORATION</v>
    <v>24.763300000000001</v>
    <v>165.43</v>
    <v>Oil &amp; Gas</v>
    <v>22777 SPRINGWOODS VILLAGE PARKWAY, SPRING, TX, 77389-1425 US</v>
    <v>XOM</v>
    <v>Acciones</v>
    <v>EXXON MOBIL CORPORATION (XNYS:XOM)</v>
    <v>11726</v>
    <v>23073141</v>
  </rv>
  <rv s="2">
    <v>7</v>
  </rv>
  <rv s="0">
    <v>https://www.bing.com/financeapi/forcetrigger?t=a1otrw&amp;q=XNYS%3aBRK.B&amp;form=skydnc</v>
    <v>Learn more on Bing</v>
  </rv>
  <rv s="1">
    <v>es-ES</v>
    <v>a1otrw</v>
    <v>268435456</v>
    <v>1</v>
    <v>Con tecnología de Refinitiv</v>
    <v>0</v>
    <v>1</v>
    <v>BERKSHIRE HATHAWAY INC. (XNYS:BRK.B)</v>
    <v>3</v>
    <v>4</v>
    <v>Finance</v>
    <v>5</v>
    <v>XNYS</v>
    <v>1437910</v>
    <v>1998</v>
    <v>476.435</v>
    <v>0.70230000000000004</v>
    <v>-0.92</v>
    <v>-1.9320000000000001E-3</v>
    <v>1068106000000</v>
    <v>476.19</v>
    <v>Berkshire Hathaway Inc. Y sus subsidiarias se dedican a diversas actividades comerciales, incluyendo seguros y reaseguros, servicios públicos y energía, transporte ferroviario de mercancías, fabricación, servicios y venta al por menor. Sus segmentos incluyen Seguros, Burlington Northern Santa Fe (BNSF), Berkshire Hathaway Energy (BHE), Centros Piloto de Viajes (Piloto), Manufactura, McLane Company (McLane) y Servicio y Retail. El segmento de seguros incluye a GEICO, Berkshire Hathaway Primary Group y Berkshire Hathaway Reinsurance Group. El segmento BNSF incluye la operación de sistemas ferroviarios en América del Norte. El segmento BHE ofrece servicios regulados de electricidad y gas y actividades de corretaje inmobiliario. El segmento de fabricación fabrica diversos productos, como productos industriales, de consumo y de construcción. El segmento de McLane se dedica a la distribución al por mayor de alimentos y artículos no alimentarios. El segmento Pilot es un operador de centros de viajes en Norteamérica y un comercializador de combustible al por mayor.</v>
    <v>387800</v>
    <v>XNYS</v>
    <v>46107.999905821096</v>
    <v>New York Stock Exchange</v>
    <v>9</v>
    <v>478.38</v>
    <v>542.07000000000005</v>
    <v>474.5</v>
    <v>455.185</v>
    <v>USD</v>
    <v>BERKSHIRE HATHAWAY INC.</v>
    <v>BERKSHIRE HATHAWAY INC.</v>
    <v>15.311500000000001</v>
    <v>475.27</v>
    <v>Consumer Goods Conglomerates</v>
    <v>3555 Farnam Street, OMAHA, NE, 68131 US</v>
    <v>BRK.B</v>
    <v>Acciones</v>
    <v>BERKSHIRE HATHAWAY INC. (XNYS:BRK.B)</v>
    <v>2391</v>
    <v>4931353</v>
  </rv>
  <rv s="2">
    <v>10</v>
  </rv>
  <rv s="0">
    <v>https://www.bing.com/financeapi/forcetrigger?t=a1ye2w&amp;q=XNYS%3aNEE&amp;form=skydnc</v>
    <v>Learn more on Bing</v>
  </rv>
  <rv s="1">
    <v>es-ES</v>
    <v>a1ye2w</v>
    <v>268435456</v>
    <v>1</v>
    <v>Con tecnología de Refinitiv</v>
    <v>0</v>
    <v>1</v>
    <v>NEXTERA ENERGY, INC. (XNYS:NEE)</v>
    <v>3</v>
    <v>4</v>
    <v>Finance</v>
    <v>6</v>
    <v>XNYS</v>
    <v>2083522000</v>
    <v>1984</v>
    <v>91.7</v>
    <v>0.74670000000000003</v>
    <v>0</v>
    <v>0</v>
    <v>189933865520</v>
    <v>91.16</v>
    <v>NextEra Energy, Inc. Es una compañía de energía eléctrica e infraestructura de energía. Opera a través de sus subsidiarias de propiedad absoluta, NextEra Energy Resources, LLC y NextEra Energy Transmission, LLC (colectivamente, NEER) y Florida Power &amp; Light Company (FPL). Sus segmentos incluyen NEER y FPL. FPL Segment es una empresa eléctrica regulada por tarifas dedicada a la generación, transmisión, distribución y venta de energía eléctrica en Florida. FPL tiene aproximadamente 35.052 megavatios de capacidad neta de generación, más de 91.000 millas de circuitos de líneas de transmisión y distribución y 921 subestaciones. El segmento NEER posee, desarrolla, construye, administra y opera instalaciones de generación eléctrica en los mercados mayoristas de energía en los Estados Unidos y Canadá e incluye activos e inversiones en otros negocios con un enfoque de energía limpia, como almacenamiento de baterías, gasoductos y combustibles renovables. Posee, desarrolla, construye y opera instalaciones de transmisión reguladas por tarifas en América del Norte.</v>
    <v>17400</v>
    <v>XNYS</v>
    <v>46107.997528448439</v>
    <v>New York Stock Exchange</v>
    <v>12</v>
    <v>92</v>
    <v>95.91</v>
    <v>90.564999999999998</v>
    <v>61.72</v>
    <v>USD</v>
    <v>NEXTERA ENERGY, INC.</v>
    <v>NEXTERA ENERGY, INC.</v>
    <v>27.6159</v>
    <v>91.16</v>
    <v>Electrical Utilities &amp; IPPs</v>
    <v>700 Universe Blvd, JUNO BEACH, FL, 33408 US</v>
    <v>NEE</v>
    <v>Acciones</v>
    <v>NEXTERA ENERGY, INC. (XNYS:NEE)</v>
    <v>25</v>
    <v>10668648</v>
  </rv>
  <rv s="2">
    <v>13</v>
  </rv>
  <rv s="0">
    <v>https://www.bing.com/financeapi/forcetrigger?t=a1mou2&amp;q=XNAS%3aAAPL&amp;form=skydnc</v>
    <v>Learn more on Bing</v>
  </rv>
  <rv s="1">
    <v>es-ES</v>
    <v>a1mou2</v>
    <v>268435456</v>
    <v>1</v>
    <v>Con tecnología de Refinitiv</v>
    <v>0</v>
    <v>1</v>
    <v>APPLE INC. (XNAS:AAPL)</v>
    <v>3</v>
    <v>4</v>
    <v>Finance</v>
    <v>5</v>
    <v>XNAS</v>
    <v>14702700000</v>
    <v>1977</v>
    <v>252.11500000000001</v>
    <v>1.1165</v>
    <v>0.27</v>
    <v>1.0689999999999999E-3</v>
    <v>3718165803000</v>
    <v>252.62</v>
    <v>Apple Inc. Diseña, fabrica y comercializa teléfonos inteligentes, computadoras personales, tabletas, wearables y accesorios, y vende una variedad de servicios relacionados. Sus categorías de productos incluyen iPhone, Mac, iPad y Wearables, Hogar y Accesorios. Sus plataformas de software incluyen iOS, iPadOS, macOS, watchOS, visionOS, y tvOS. Sus servicios incluyen publicidad, AppleCare, servicios en la nube, contenido digital y servicios de pago. La Compañía opera varias plataformas, incluida la App Store, que permiten a los clientes descubrir y descargar aplicaciones y contenido digital, como libros, música, video, juegos y podcasts. También ofrece contenido digital a través de servicios basados en suscripción, como Apple Arcade, Apple Fitness+, Apple Music, Apple News+, Apple y Apple TV+. Sus productos incluyen iPhone 16 Pro, iPhone 16, iPhone 15, iPhone 14, iPhone SE, MacBook Air, MacBook Pro, iMac, Mac mini, Mac Studio, Mac Pro, iPad Pro, iPad Air, AirPods, AirPods Pro, AirPods Max, Apple TV y Apple Visión Pro.</v>
    <v>166000</v>
    <v>XNAS</v>
    <v>46107.999987488278</v>
    <v>Nasdaq Stock Market</v>
    <v>15</v>
    <v>257</v>
    <v>288.62</v>
    <v>250.77</v>
    <v>169.21010000000001</v>
    <v>USD</v>
    <v>APPLE INC.</v>
    <v>APPLE INC.</v>
    <v>32.128999999999998</v>
    <v>252.89</v>
    <v>Computers, Phones &amp; Household Electronics</v>
    <v>One Apple Park Way, CUPERTINO, CA, 95014 US</v>
    <v>AAPL</v>
    <v>Acciones</v>
    <v>APPLE INC. (XNAS:AAPL)</v>
    <v>31569</v>
    <v>40678373</v>
  </rv>
  <rv s="2">
    <v>16</v>
  </rv>
  <rv s="0">
    <v>https://www.bing.com/financeapi/forcetrigger?t=a1nhlh&amp;q=XNAS%3aAMZN&amp;form=skydnc</v>
    <v>Learn more on Bing</v>
  </rv>
  <rv s="1">
    <v>es-ES</v>
    <v>a1nhlh</v>
    <v>268435456</v>
    <v>1</v>
    <v>Con tecnología de Refinitiv</v>
    <v>0</v>
    <v>1</v>
    <v>AMAZON.COM, INC. (XNAS:AMZN)</v>
    <v>3</v>
    <v>4</v>
    <v>Finance</v>
    <v>5</v>
    <v>XNAS</v>
    <v>10734920000</v>
    <v>1996</v>
    <v>210.61</v>
    <v>1.3871</v>
    <v>-4.17</v>
    <v>-1.9696999999999999E-2</v>
    <v>2227925296800</v>
    <v>211.71</v>
    <v>Amazon.com, Inc. Ofrece una gama de productos y servicios a los clientes. Los productos ofrecidos a través de sus tiendas incluyen mercancía y contenido que ha adquirido para su reventa y productos ofrecidos por terceros vendedores. Los segmentos de la compañía incluyen Norteamérica, International y Amazon Web Services (AWS). Sirve a los consumidores a través de sus tiendas en línea y físicas y se centra en la selección, el precio y la conveniencia. Los clientes acceden a sus ofertas a través de sus sitios web, aplicaciones móviles, Alexa, dispositivos, streaming, y visitando físicamente sus tiendas. También fabrica y vende dispositivos electrónicos, incluyendo Kindle, tableta de fuego, Fire TV, Echo, Ring, Blink y eero, y desarrolla y produce contenido multimedia. Presta servicios a desarrolladores y empresas de todos los tamaños, incluidas empresas emergentes, agencias gubernamentales e instituciones académicas, a través de AWS, que ofrece un conjunto de servicios de tecnología bajo demanda, incluyendo computación, almacenamiento, base de datos, análisis, y el aprendizaje automático, y otros servicios.</v>
    <v>1576000</v>
    <v>XNAS</v>
    <v>46107.999969178127</v>
    <v>Nasdaq Stock Market</v>
    <v>18</v>
    <v>212.88499999999999</v>
    <v>258.60000000000002</v>
    <v>207.12</v>
    <v>161.38</v>
    <v>USD</v>
    <v>AMAZON.COM, INC.</v>
    <v>AMAZON.COM, INC.</v>
    <v>28.936599999999999</v>
    <v>207.54</v>
    <v>Diversified Retail</v>
    <v>410 Terry Avenue North, SEATTLE, WA, 98109 US</v>
    <v>AMZN</v>
    <v>Acciones</v>
    <v>AMAZON.COM, INC. (XNAS:AMZN)</v>
    <v>64237</v>
    <v>45780816</v>
  </rv>
  <rv s="2">
    <v>19</v>
  </rv>
  <rv s="0">
    <v>https://www.bing.com/financeapi/forcetrigger?t=a1u3rw&amp;q=XNAS%3aGOOGL&amp;form=skydnc</v>
    <v>Learn more on Bing</v>
  </rv>
  <rv s="1">
    <v>es-ES</v>
    <v>a1u3rw</v>
    <v>268435456</v>
    <v>1</v>
    <v>Con tecnología de Refinitiv</v>
    <v>0</v>
    <v>1</v>
    <v>ALPHABET INC. (XNAS:GOOGL)</v>
    <v>3</v>
    <v>4</v>
    <v>Finance</v>
    <v>5</v>
    <v>XNAS</v>
    <v>12097000000</v>
    <v>2015</v>
    <v>287.91000000000003</v>
    <v>1.1257999999999999</v>
    <v>-10.01</v>
    <v>-3.4407E-2</v>
    <v>3398289240000</v>
    <v>290.93</v>
    <v>Alphabet Inc. Es una compañía holding. Los segmentos de la Compañía incluyen Google Services, Google Cloud y otras apuestas. El segmento de Servicios de Google incluye productos y servicios como anuncios, Android, Chrome, dispositivos, Google Maps, Google Maps, etc. Google Play, Búsqueda y YouTube. El segmento de Google Cloud incluye servicios de infraestructura y plataforma, herramientas de colaboración y otros servicios para clientes empresariales. Su otro segmento de apuestas se dedica a la venta de servicios relacionados con la salud y servicios de Internet. Google Cloud ofrece servicios en la nube listos para la empresa, incluidos Google Cloud Platform y Google Workspace. Google Cloud Platform proporciona acceso a soluciones como las ofertas de inteligencia artificial (IA), incluida su infraestructura de IA, la plataforma Vertex AI y Gemini para Google Cloud; ciberseguridad y datos y análisis. Google Workspace incluye herramientas de comunicación y colaboración basadas en la nube para empresas, como Calendar, Gmail, Docs, Drive, y reunirse.</v>
    <v>190820</v>
    <v>XNAS</v>
    <v>46107.999934652347</v>
    <v>Nasdaq Stock Market</v>
    <v>21</v>
    <v>287.95</v>
    <v>349</v>
    <v>278.5</v>
    <v>140.53</v>
    <v>USD</v>
    <v>ALPHABET INC.</v>
    <v>ALPHABET INC.</v>
    <v>25.986999999999998</v>
    <v>280.92</v>
    <v>Software &amp; IT Services</v>
    <v>1600 Amphitheatre Parkway, MOUNTAIN VIEW, CA, 94043 US</v>
    <v>GOOGL</v>
    <v>Acciones</v>
    <v>ALPHABET INC. (XNAS:GOOGL)</v>
    <v>141128</v>
    <v>30565896</v>
  </rv>
  <rv s="2">
    <v>22</v>
  </rv>
  <rv s="0">
    <v>https://www.bing.com/financeapi/forcetrigger?t=a1zsjc&amp;q=XNYS%3aPG&amp;form=skydnc</v>
    <v>Learn more on Bing</v>
  </rv>
  <rv s="1">
    <v>es-ES</v>
    <v>a1zsjc</v>
    <v>268435456</v>
    <v>1</v>
    <v>Con tecnología de Refinitiv</v>
    <v>0</v>
    <v>1</v>
    <v>THE PROCTER &amp; GAMBLE COMPANY (XNYS:PG)</v>
    <v>3</v>
    <v>4</v>
    <v>Finance</v>
    <v>6</v>
    <v>XNYS</v>
    <v>2324001000</v>
    <v>1905</v>
    <v>143.69</v>
    <v>0.39700000000000002</v>
    <v>-1.5</v>
    <v>-1.0422000000000001E-2</v>
    <v>330984222420</v>
    <v>143.91999999999999</v>
    <v>La empresa Procter &amp; Gamble se centra en proporcionar productos de consumo envasados de marca a consumidores de todo el mundo. Los segmentos de la Compañía incluyen Belleza, Cuidado de la Salud, Cuidado de la Tela y del Hogar y Cuidado del Bebé, Femenino y Familiar. Los productos de la Compañía se venden en aproximadamente 180 países y territorios principalmente a través de mercaderías masivas, comercio electrónico, incluyendo canales de comercio social, tiendas de comestibles, tiendas de clubes de membresía, farmacias, grandes almacenes, etc. distribuidores, mayoristas, tiendas de belleza especializadas, incluyendo tiendas libres de impuestos de aeropuerto), tiendas de alta frecuencia, farmacias, tiendas de electrónica y canales profesionales. También vende directamente a consumidores individuales. Tiene operaciones en aproximadamente 70 países. Ofrece productos bajo marcas, como Head &amp; Shoulders, Herbal Essences, Pantene, Réjoice, Olay, especia vieja, Salvaguardia, Secreto, SK-II, Braun, Gillette, Venus, Cresta, Oral-B, Ariel, Downy, Ganar, Marea, Siempre, Siempre discreto, Tampax, Bounty y otros.</v>
    <v>109000</v>
    <v>XNYS</v>
    <v>46107.999660392969</v>
    <v>New York Stock Exchange</v>
    <v>24</v>
    <v>144.57</v>
    <v>174.8</v>
    <v>142.23500000000001</v>
    <v>137.62</v>
    <v>USD</v>
    <v>THE PROCTER &amp; GAMBLE COMPANY</v>
    <v>THE PROCTER &amp; GAMBLE COMPANY</v>
    <v>21.102599999999999</v>
    <v>142.41999999999999</v>
    <v>Personal &amp; Household Products &amp; Services</v>
    <v>One Procter &amp; Gamble Plaza, CINCINNATI, OH, 45202 US</v>
    <v>PG</v>
    <v>Acciones</v>
    <v>THE PROCTER &amp; GAMBLE COMPANY (XNYS:PG)</v>
    <v>821</v>
    <v>11562745</v>
  </rv>
  <rv s="2">
    <v>25</v>
  </rv>
  <rv s="0">
    <v>https://www.bing.com/financeapi/forcetrigger?t=b1ab2w&amp;q=XCNQ%3aCAT&amp;form=skydnc</v>
    <v>Learn more on Bing</v>
  </rv>
  <rv s="3">
    <v>es-ES</v>
    <v>b1ab2w</v>
    <v>268435456</v>
    <v>1</v>
    <v>Con tecnología de Refinitiv</v>
    <v>7</v>
    <v>8</v>
    <v>CAT Strategic (XCNQ:CAT)</v>
    <v>3</v>
    <v>9</v>
    <v>Finance</v>
    <v>10</v>
    <v>XCNQ</v>
    <v>277793400</v>
    <v>2010</v>
    <v>0.01</v>
    <v>0.55500000000000005</v>
    <v>5.0000000000000001E-3</v>
    <v>1</v>
    <v>2777934</v>
    <v>5.0000000000000001E-3</v>
    <v>CAT Strategic Metals Corporation is a Canada-based company. The Company's principal activity is the acquisition and exploration of mineral properties. It is engaged in sourcing, identifying, acquiring and advancing property interests located in mineral districts proven to have potential, primarily lithium, copper, gold, silver and tellurium. Its projects include South Preston Uranium, Gold Jackpot, Rimrock Gold Mineral and New Brunswick. The South Preston Uranium Property is a district-scale uranium exploration project encompassing over 20,679 ha across numerous mineral dispositions. The property is located in the southwest area of Canada’s Athabasca Basin. The unpatented lode claims of the Gold Jackpot Mineral Property are located 35 km southeast of Jackpot and 135 km NE of Elko, Nevada, in the Pequop gold-copper trend. The New Brunswick Property consists of over 1,200 hectares located approximately 60 Km Northeast of Saint Quentin in the county of Restigouche, New Brunswick, Canada.</v>
    <v>XCNQ</v>
    <v>46107.831809374999</v>
    <v>Canadian National Stock Exchange</v>
    <v>27</v>
    <v>0.01</v>
    <v>2.1899999999999999E-2</v>
    <v>0.01</v>
    <v>4.4000000000000003E-3</v>
    <v>CAD</v>
    <v>CAT Strategic</v>
    <v>CAT Strategic</v>
    <v>0.01</v>
    <v>Metals &amp; Mining</v>
    <v>1010 - 789 W. Pender Street, VANCOUVER, BC, V6C 1H2 CA</v>
    <v>CAT</v>
    <v>Acciones</v>
    <v>CAT Strategic (XCNQ:CAT)</v>
    <v>81000</v>
    <v>115490</v>
  </rv>
  <rv s="2">
    <v>28</v>
  </rv>
  <rv s="0">
    <v>https://www.bing.com/financeapi/forcetrigger?t=bnmq52&amp;q=XNYS%3aLIN&amp;form=skydnc</v>
    <v>Learn more on Bing</v>
  </rv>
  <rv s="1">
    <v>es-ES</v>
    <v>bnmq52</v>
    <v>268435456</v>
    <v>1</v>
    <v>Con tecnología de Refinitiv</v>
    <v>0</v>
    <v>1</v>
    <v>LINDE PUBLIC LIMITED COMPANY (XNAS:LIN)</v>
    <v>3</v>
    <v>4</v>
    <v>Finance</v>
    <v>5</v>
    <v>XNAS</v>
    <v>463394200</v>
    <v>2017</v>
    <v>491.25</v>
    <v>0.79720000000000002</v>
    <v>3.15</v>
    <v>6.398E-3</v>
    <v>229607192158</v>
    <v>492.34</v>
    <v>Linde plc es una empresa de ingeniería y gases industriales con sede en el Reino Unido. Los segmentos de la compañía incluyen Américas, EMEA, APAC e Ingeniería. Los productos primarios de la Compañía en su negocio de gases industriales consisten en gases atmosféricos, como oxígeno, nitrógeno, argón y gases raros y gases de proceso, incluyendo hidrógeno, helio, dióxido de carbono, monóxido de carbono, monóxido de carbono, etc. gases electrónicos, y acetileno, entre otros. También diseña y construye equipos que producen gases industriales y ofrece a los clientes una gama de servicios de producción y procesamiento de gas, tales como plantas de olefina, plantas de gas natural, plantas de separación de aire, plantas de hidrógeno y gas de síntesis y otros tipos de plantas. Presta servicios a un grupo diverso de industrias que incluyen salud, productos químicos y energía, manufactura, metales y minería, alimentos y bebidas, etc. y electrónica. Su negocio de ingeniería diseña y fabrica equipos para separación de aire y otras aplicaciones de gas industrial específicamente para clientes finales.</v>
    <v>65177</v>
    <v>XNAS</v>
    <v>46107.996957626565</v>
    <v>Nasdaq Stock Market</v>
    <v>30</v>
    <v>500.31</v>
    <v>510.65230000000003</v>
    <v>491.15</v>
    <v>387.78</v>
    <v>USD</v>
    <v>LINDE PUBLIC LIMITED COMPANY</v>
    <v>LINDE PUBLIC LIMITED COMPANY</v>
    <v>33.936999999999998</v>
    <v>495.49</v>
    <v>Chemicals</v>
    <v>Forge, 43 Church Street West, WOKING, SURREY, GU21 6HT GB</v>
    <v>LIN</v>
    <v>Acciones</v>
    <v>LINDE PUBLIC LIMITED COMPANY (XNAS:LIN)</v>
    <v>746</v>
    <v>2880898</v>
  </rv>
  <rv s="2">
    <v>31</v>
  </rv>
  <rv s="0">
    <v>https://www.bing.com/financeapi/forcetrigger?t=a1zy3m&amp;q=XNYS%3aPLD&amp;form=skydnc</v>
    <v>Learn more on Bing</v>
  </rv>
  <rv s="1">
    <v>es-ES</v>
    <v>a1zy3m</v>
    <v>268435456</v>
    <v>1</v>
    <v>Con tecnología de Refinitiv</v>
    <v>0</v>
    <v>1</v>
    <v>PROLOGIS, INC. (XNYS:PLD)</v>
    <v>3</v>
    <v>4</v>
    <v>Finance</v>
    <v>6</v>
    <v>XNYS</v>
    <v>932230700</v>
    <v>1997</v>
    <v>129.49</v>
    <v>1.4247000000000001</v>
    <v>-0.62</v>
    <v>-4.7559999999999998E-3</v>
    <v>120947611018</v>
    <v>130.36000000000001</v>
    <v>Prologis, Inc. Es una empresa inmobiliaria totalmente integrada. La Compañía opera a través de dos segmentos: Bienes Raíces (Operaciones de Alquiler y Desarrollo) y Capital Estratégico. Su segmento inmobiliario representa la propiedad y el desarrollo de propiedades operativas. El segmento de bienes raíces también incluye actividades de desarrollo que conducen a operaciones de alquiler, incluyendo terrenos para desarrollo y propiedades en desarrollo, y otras inversiones inmobiliarias, incluyendo activos de energía renovable. El segmento de Capital Estratégico representa la gestión de empresas de coinversión no consolidadas. La Compañía es el socio general de Prologis, L.P. (la Asociación Operativa u OP). A través del OP, se dedica a la propiedad, adquisición, desarrollo y gestión de instalaciones logísticas con un enfoque en mercados clave en aproximadamente 20 países en cuatro continentes. Opera, gestiona y mide el rendimiento operativo de sus propiedades sobre una base de propiedad y gestión (O&amp;M).</v>
    <v>2802</v>
    <v>XNYS</v>
    <v>46107.994565937501</v>
    <v>New York Stock Exchange</v>
    <v>33</v>
    <v>130.91</v>
    <v>143.94999999999999</v>
    <v>128.97</v>
    <v>85.35</v>
    <v>USD</v>
    <v>PROLOGIS, INC.</v>
    <v>PROLOGIS, INC.</v>
    <v>36.501100000000001</v>
    <v>129.74</v>
    <v>Residential &amp; Commercial REIT</v>
    <v>PIER 1 BAY 1, SAN FRANCISCO, CA, 94111 US</v>
    <v>PLD</v>
    <v>Acciones</v>
    <v>PROLOGIS, INC. (XNYS:PLD)</v>
    <v>3</v>
    <v>3445821</v>
  </rv>
  <rv s="2">
    <v>34</v>
  </rv>
  <rv s="0">
    <v>https://www.bing.com/financeapi/forcetrigger?t=a24xlh&amp;q=XNYS%3aUNH&amp;form=skydnc</v>
    <v>Learn more on Bing</v>
  </rv>
  <rv s="1">
    <v>es-ES</v>
    <v>a24xlh</v>
    <v>268435456</v>
    <v>1</v>
    <v>Con tecnología de Refinitiv</v>
    <v>0</v>
    <v>1</v>
    <v>UNITEDHEALTH GROUP INCORPORATED (XNYS:UNH)</v>
    <v>3</v>
    <v>4</v>
    <v>Finance</v>
    <v>5</v>
    <v>XNYS</v>
    <v>907675800</v>
    <v>2015</v>
    <v>269.99</v>
    <v>0.40620000000000001</v>
    <v>-2.5</v>
    <v>-9.2399999999999999E-3</v>
    <v>243302498190</v>
    <v>270.55</v>
    <v>UnitedHealth Group Incorporated es una empresa de salud y bienestar. Sus segmentos incluyen Optum Health, Optum Insight, Optum Rx y UnitedHealthcare, que incluye UnitedHealthcare Empleador e Individual, UnitedHealthcare Medicare &amp; Retirement y UnitedHealthcare Community &amp; State. Optum Health ofrece atención integral y centrada en el paciente, abordando el bienestar físico, mental, social y financiero. Optum Health ofrece atención primaria, especializada y quirúrgica; ayuda a los pacientes y proveedores a navegar y abordar necesidades complejas, crónicas y de salud del comportamiento. Optum Insight conecta el sistema sanitario con servicios, análisis y plataformas que hacen que los procesos clínicos, administrativos y financieros sean más sencillos y eficientes para todos los participantes en el sistema sanitario. Optum Rx ofrece una gama de servicios de atención de farmacias a través de farmacias minoristas, a través de entrega a domicilio, farmacias especializadas y de salud comunitaria y la prestación de servicios de infusión en el hogar y basados en la comunidad.</v>
    <v>390000</v>
    <v>XNYS</v>
    <v>46107.999643159375</v>
    <v>New York Stock Exchange</v>
    <v>36</v>
    <v>274.64</v>
    <v>606.36</v>
    <v>267.18</v>
    <v>234.6</v>
    <v>USD</v>
    <v>UNITEDHEALTH GROUP INCORPORATED</v>
    <v>UNITEDHEALTH GROUP INCORPORATED</v>
    <v>20.316400000000002</v>
    <v>268.05</v>
    <v>Healthcare Providers &amp; Services</v>
    <v>1 HEALTH DRIVE, EDEN PRAIRIE, MN, 55344 US</v>
    <v>UNH</v>
    <v>Acciones</v>
    <v>UNITEDHEALTH GROUP INCORPORATED (XNYS:UNH)</v>
    <v>4091</v>
    <v>8718416</v>
  </rv>
  <rv s="2">
    <v>37</v>
  </rv>
  <rv s="0">
    <v>https://www.bing.com/financeapi/forcetrigger?t=a1waa2&amp;q=XNYS%3aJPM&amp;form=skydnc</v>
    <v>Learn more on Bing</v>
  </rv>
  <rv s="1">
    <v>es-ES</v>
    <v>a1waa2</v>
    <v>268435456</v>
    <v>1</v>
    <v>Con tecnología de Refinitiv</v>
    <v>0</v>
    <v>1</v>
    <v>JPMORGAN CHASE &amp; CO. (XNYS:JPM)</v>
    <v>3</v>
    <v>4</v>
    <v>Finance</v>
    <v>5</v>
    <v>XNYS</v>
    <v>2697032000</v>
    <v>1968</v>
    <v>292.58</v>
    <v>1.0476000000000001</v>
    <v>-3.76</v>
    <v>-1.2728E-2</v>
    <v>786616353120</v>
    <v>295.42</v>
    <v>JPMorgan Chase &amp; Co. Es una sociedad financiera de cartera. La Compañía se dedica a la banca de inversión, servicios financieros para consumidores y pequeñas empresas, banca comercial, procesamiento de transacciones financieras y gestión de activos. La empresa opera a través de tres segmentos: Banca de Consumo y Comunitaria (CCB), Banco Comercial e Inversión (CIB) y Gestión de Activos y Patrimonio (AWM). Su segmento CCB ofrece productos y servicios a consumidores y pequeñas empresas a través de sucursales bancarias, cajeros automáticos, banca digital y telefónica. Su segmento CIB consiste en banca y pagos y mercados y servicios de valores, y ofrece un conjunto de servicios de banca de inversión, préstamos, pagos, creación de mercado, financiamiento, etc. productos y servicios de custodia y valores a una base global de clientes corporativos e institucionales. AWM Segment ofrece soluciones de inversión y gestión patrimonial. Ofrece soluciones de gestión de inversiones de activos múltiples, productos y servicios de jubilación, corretaje, custodia, planificación patrimonial y otros.</v>
    <v>318512</v>
    <v>XNYS</v>
    <v>46107.99950975625</v>
    <v>New York Stock Exchange</v>
    <v>39</v>
    <v>294.98989999999998</v>
    <v>337.25</v>
    <v>290.73</v>
    <v>202.16</v>
    <v>USD</v>
    <v>JPMORGAN CHASE &amp; CO.</v>
    <v>JPMORGAN CHASE &amp; CO.</v>
    <v>14.575100000000001</v>
    <v>291.66000000000003</v>
    <v>Banking Services</v>
    <v>270 Park Avenue, NEW YORK, NY, 10017 US</v>
    <v>JPM</v>
    <v>Acciones</v>
    <v>JPMORGAN CHASE &amp; CO. (XNYS:JPM)</v>
    <v>2134</v>
    <v>11027212</v>
  </rv>
  <rv s="2">
    <v>40</v>
  </rv>
  <rv s="0">
    <v>https://www.bing.com/financeapi/forcetrigger?t=a1qlz2&amp;q=XNYS%3aCVX&amp;form=skydnc</v>
    <v>Learn more on Bing</v>
  </rv>
  <rv s="1">
    <v>es-ES</v>
    <v>a1qlz2</v>
    <v>268435456</v>
    <v>1</v>
    <v>Con tecnología de Refinitiv</v>
    <v>0</v>
    <v>1</v>
    <v>CHEVRON CORPORATION (XNYS:CVX)</v>
    <v>3</v>
    <v>4</v>
    <v>Finance</v>
    <v>5</v>
    <v>XNYS</v>
    <v>1995385000</v>
    <v>1926</v>
    <v>206.03</v>
    <v>0.60429999999999995</v>
    <v>2.64</v>
    <v>1.2868999999999998E-2</v>
    <v>414621049150</v>
    <v>205.15</v>
    <v>Chevron Corporation es una compañía de energía integrada. La Compañía produce petróleo crudo y gas natural; fabrica combustibles para el transporte, lubricantes, petroquímicos y aditivos; y desarrolla tecnologías que mejoran su negocio e industria. Los segmentos de la Compañía incluyen upstream y downstream. Las operaciones de aguas arriba consisten principalmente en la exploración, desarrollo, producción y transporte de petróleo crudo y gas natural; licuefacción, transporte y regasificación asociados con GNL; transporte de petróleo crudo por los principales oleoductos internacionales de exportación de petróleo; procesamiento, transporte, almacenamiento y comercialización de gas natural; captura y almacenamiento de carbono; y una planta de gas a líquidos. Las operaciones posteriores consisten principalmente en el refinado de petróleo crudo en productos petrolíferos; la comercialización de petróleo crudo, productos refinados y lubricantes; la fabricación y comercialización de combustibles renovables, y el transporte de petróleo crudo y productos refinados por tuberías, buques marinos, equipos de motor y vagones ferroviarios.</v>
    <v>43039</v>
    <v>XNYS</v>
    <v>46107.999662013281</v>
    <v>New York Stock Exchange</v>
    <v>42</v>
    <v>209.2099</v>
    <v>209.79</v>
    <v>205.16</v>
    <v>132.04</v>
    <v>USD</v>
    <v>CHEVRON CORPORATION</v>
    <v>CHEVRON CORPORATION</v>
    <v>31.265799999999999</v>
    <v>207.79</v>
    <v>Oil &amp; Gas</v>
    <v>1400 SMITH STREET, HOUSTON, TX, 77002 US</v>
    <v>CVX</v>
    <v>Acciones</v>
    <v>CHEVRON CORPORATION (XNYS:CVX)</v>
    <v>5218</v>
    <v>13782231</v>
  </rv>
  <rv s="2">
    <v>43</v>
  </rv>
  <rv s="0">
    <v>http://en.wikipedia.org/wiki/Public_domain</v>
    <v>Public domain</v>
  </rv>
  <rv s="0">
    <v>https://en.wikipedia.org/wiki/Microsoft</v>
    <v>Wikipedia</v>
  </rv>
  <rv s="4">
    <v>45</v>
    <v>46</v>
  </rv>
  <rv s="5">
    <v>16</v>
    <v>https://www.bing.com/th?id=AMMS_e6e837c7bf3a77408619758b7447855a&amp;qlt=95</v>
    <v>47</v>
    <v>0</v>
    <v>https://www.bing.com/images/search?form=xlimg&amp;q=microsoft</v>
    <v>Image of MICROSOFT CORPORATION</v>
  </rv>
  <rv s="0">
    <v>https://www.bing.com/financeapi/forcetrigger?t=a1xzim&amp;q=XNAS%3aMSFT&amp;form=skydnc</v>
    <v>Learn more on Bing</v>
  </rv>
  <rv s="6">
    <v>es-ES</v>
    <v>a1xzim</v>
    <v>268435456</v>
    <v>1</v>
    <v>Con tecnología de Refinitiv</v>
    <v>11</v>
    <v>12</v>
    <v>MICROSOFT CORPORATION (XNAS:MSFT)</v>
    <v>14</v>
    <v>15</v>
    <v>Finance</v>
    <v>5</v>
    <v>XNAS</v>
    <v>7425629000</v>
    <v>1993</v>
    <v>370.815</v>
    <v>1.1112</v>
    <v>-5.07</v>
    <v>-1.3664000000000001E-2</v>
    <v>2717557445130</v>
    <v>371.04</v>
    <v>Microsoft Corporation es una empresa de tecnología. La Compañía desarrolla y apoya software, servicios, dispositivos y soluciones. Los segmentos de la compañía incluyen Productividad y Procesos de Negocio, Nube Inteligente y más Informática Personal. El segmento Productividad y Procesos de Negocio está formado por productos y servicios en su cartera de servicios de productividad, comunicación e información. Este segmento comprende principalmente: Office Commercial, Office Consumer, LinkedIn y soluciones empresariales de Dynamics. El segmento de la nube inteligente consiste en productos de servidor y servicios en la nube, incluidos Azure y otros servicios en la nube, SQL Server, Windows Server, Visual Studio, System Center y Windows Server. licencias de acceso de clientes (CAL) relacionadas, Nuance y GitHub; y Servicios empresariales, incluidos los servicios de soporte empresarial, las soluciones de la industria y los servicios profesionales de Nuance. El segmento más personal de Computación comprende principalmente Windows, dispositivos, juegos y publicidad de búsqueda y noticias.</v>
    <v>228000</v>
    <v>XNAS</v>
    <v>46107.999994282029</v>
    <v>48</v>
    <v>Nasdaq Stock Market</v>
    <v>49</v>
    <v>374.7199</v>
    <v>555.45000000000005</v>
    <v>365.19</v>
    <v>344.79</v>
    <v>USD</v>
    <v>MICROSOFT CORPORATION</v>
    <v>MICROSOFT CORPORATION</v>
    <v>22.898299999999999</v>
    <v>365.97</v>
    <v>Software &amp; IT Services</v>
    <v>One Microsoft Way, REDMOND, WA, 98052 US</v>
    <v>MSFT</v>
    <v>Acciones</v>
    <v>MICROSOFT CORPORATION (XNAS:MSFT)</v>
    <v>112482</v>
    <v>33971901</v>
  </rv>
  <rv s="2">
    <v>50</v>
  </rv>
  <rv s="0">
    <v>https://www.bing.com/financeapi/forcetrigger?t=a256cw&amp;q=XNYS%3aV&amp;form=skydnc</v>
    <v>Learn more on Bing</v>
  </rv>
  <rv s="1">
    <v>es-ES</v>
    <v>a256cw</v>
    <v>268435456</v>
    <v>1</v>
    <v>Con tecnología de Refinitiv</v>
    <v>0</v>
    <v>1</v>
    <v>VISA INC. (XNYS:V)</v>
    <v>3</v>
    <v>4</v>
    <v>Finance</v>
    <v>5</v>
    <v>XNYS</v>
    <v>1906009000</v>
    <v>2007</v>
    <v>304.16000000000003</v>
    <v>0.79730000000000001</v>
    <v>0.62</v>
    <v>2.0330000000000001E-3</v>
    <v>582342929770</v>
    <v>304.91000000000003</v>
    <v>Visa Inc. Es una compañía global de tecnología de pagos. Facilita el comercio global y el movimiento de dinero en más de 200 países y territorios entre un conjunto global de consumidores, comerciantes, instituciones financieras y entidades gubernamentales a través de tecnologías. Opera a través del segmento de Servicios de Pago. Proporciona servicios de procesamiento de transacciones (principalmente autorización, compensación y liquidación) a sus instituciones financieras y clientes comerciales a través de VisaNet, su red de procesamiento avanzado de transacciones patentada. Ofrece una gama de productos de pago de la marca Visa que sus clientes, incluidas casi 14.500 instituciones financieras, utilizan para desarrollar y ofrecer soluciones o servicios de pago, incluidos programas de crédito, débito, prepago y acceso al efectivo para titulares de cuentas individuales, empresariales y gubernamentales. También proporciona servicios de valor agregado a sus clientes, incluyendo soluciones de emisión, soluciones de aceptación, soluciones de riesgo e identidad, soluciones de banca abierta y servicios de asesoramiento.</v>
    <v>34100</v>
    <v>XNYS</v>
    <v>46107.999626805467</v>
    <v>New York Stock Exchange</v>
    <v>52</v>
    <v>307.87</v>
    <v>375.51</v>
    <v>303</v>
    <v>297.03219999999999</v>
    <v>USD</v>
    <v>VISA INC.</v>
    <v>VISA INC.</v>
    <v>28.669499999999999</v>
    <v>305.52999999999997</v>
    <v>Professional &amp; Commercial Services</v>
    <v>P.O. Box 8999, SAN FRANCISCO, CA, 94128-8999 US</v>
    <v>V</v>
    <v>Acciones</v>
    <v>VISA INC. (XNYS:V)</v>
    <v>929</v>
    <v>7575628</v>
  </rv>
  <rv s="2">
    <v>53</v>
  </rv>
  <rv s="0">
    <v>https://www.bing.com/financeapi/forcetrigger?t=a1wyu2&amp;q=XNYS%3aLLY&amp;form=skydnc</v>
    <v>Learn more on Bing</v>
  </rv>
  <rv s="1">
    <v>es-ES</v>
    <v>a1wyu2</v>
    <v>268435456</v>
    <v>1</v>
    <v>Con tecnología de Refinitiv</v>
    <v>0</v>
    <v>1</v>
    <v>ELI LILLY AND COMPANY (XNYS:LLY)</v>
    <v>3</v>
    <v>4</v>
    <v>Finance</v>
    <v>6</v>
    <v>XNYS</v>
    <v>944818900</v>
    <v>1901</v>
    <v>912.38</v>
    <v>0.49709999999999999</v>
    <v>-19.309999999999999</v>
    <v>-2.1074000000000002E-2</v>
    <v>847502553300</v>
    <v>916.31</v>
    <v>Eli Lilly and Company es una empresa de medicina, que descubre, desarrolla, fabrica, comercializa, y vende productos farmacéuticos en todo el mundo. Sus productos de salud cardiometabólicos incluyen Basaglar; Humalog, Humalog Mix 75/25, Humalog U-100, Humalog U-200, Humalog Mix 50/50, Insulin lispro, y otros; Humulin, Humulin 70/30, y otros; Jardiance; Mounjaro; Trulicidad; Zepbound; VERVE-102; VERVE-201, Y VERVE-301. Sus productos oncológicos incluyen Cyramza, Erbitux, Tyvyt y Verzenio. Sus productos de inmunología incluyen Ebglyss, Olumiant, Omvoh y Taltz. Sus productos de neurociencia incluyen Emgality y Kisunla. La Compañía también participa en el descubrimiento radiofármaco, el desarrollo y los esfuerzos de fabricación, y las terapias clínicas y preclínicas de radioligand en desarrollo para el tratamiento del cáncer. También está desarrollando un inhibidor oral de moléculas pequeñas de la integrina a4b7 para la enfermedad inflamatoria intestinal (EII). Está evaluando su novedoso candidato a terapia génica, ixoberogeno soroparvovec.</v>
    <v>50000</v>
    <v>XNYS</v>
    <v>46107.999635890628</v>
    <v>New York Stock Exchange</v>
    <v>55</v>
    <v>916.34990000000005</v>
    <v>1133.95</v>
    <v>896.29</v>
    <v>623.78</v>
    <v>USD</v>
    <v>ELI LILLY AND COMPANY</v>
    <v>ELI LILLY AND COMPANY</v>
    <v>39.073799999999999</v>
    <v>897</v>
    <v>Pharmaceuticals</v>
    <v>Lilly Corporate Ctr, Drop Code 1094, INDIANAPOLIS, IN, 46285 US</v>
    <v>LLY</v>
    <v>Acciones</v>
    <v>ELI LILLY AND COMPANY (XNYS:LLY)</v>
    <v>1384</v>
    <v>2924935</v>
  </rv>
  <rv s="2">
    <v>56</v>
  </rv>
  <rv s="0">
    <v>http://en.wikipedia.org/wiki/McDonald's</v>
    <v>Wikipedia</v>
  </rv>
  <rv s="4">
    <v>45</v>
    <v>58</v>
  </rv>
  <rv s="5">
    <v>16</v>
    <v>https://www.bing.com/th?id=AMMS_7d8255243964a8970376f8dd41121106&amp;qlt=95</v>
    <v>59</v>
    <v>0</v>
    <v>https://www.bing.com/images/search?form=xlimg&amp;q=mcdonald%27s</v>
    <v>Image of MCDONALD'S CORPORATION</v>
  </rv>
  <rv s="0">
    <v>https://www.bing.com/financeapi/forcetrigger?t=a1xdec&amp;q=XNYS%3aMCD&amp;form=skydnc</v>
    <v>Learn more on Bing</v>
  </rv>
  <rv s="6">
    <v>es-ES</v>
    <v>a1xdec</v>
    <v>268435456</v>
    <v>1</v>
    <v>Con tecnología de Refinitiv</v>
    <v>11</v>
    <v>12</v>
    <v>MCDONALD'S CORPORATION (XNYS:MCD)</v>
    <v>14</v>
    <v>15</v>
    <v>Finance</v>
    <v>6</v>
    <v>XNYS</v>
    <v>710398600</v>
    <v>1964</v>
    <v>310.75</v>
    <v>0.5272</v>
    <v>-2.77</v>
    <v>-8.8870000000000008E-3</v>
    <v>219463439498</v>
    <v>311.7</v>
    <v>McDonald's Corporation es un minorista global de servicios de alimentos. Su segmento incluye Estados Unidos, mercados operados internacionales y mercados internacionales con licencia de desarrollo y empresas. El segmento de Estados Unidos es su mercado más grande y está 95% franquiciado. El segmento de Mercados Operados Internacionales se compone de mercados, o países en los que opera y franquicia restaurantes, incluyendo Australia, Canadá, Francia, Alemania, Francia, Francia, Alemania y Alemania. Italia, Polonia, España y el Reino Unido. Este segmento es 89% franquiciado. El segmento de Mercados y Empresas con Licencias para el Desarrollo Internacional está compuesto por mercados de licencias y afiliados para el desarrollo, incluidas las inversiones en el método de acciones en China y el Japón. Este segmento es 99% franquiciado. Su menú incluye hamburguesas y hamburguesas con queso, la Big Mac, la Quarter Pounder con queso, el Filet-O-Fish, y varios sándwiches de pollo, como el McChicken y McCrispy, así como McNuggets de pollo, papas fritas, batidos, sundaes, galletas, refrescos, café y otras bebidas.</v>
    <v>150000</v>
    <v>XNYS</v>
    <v>46107.997446851565</v>
    <v>60</v>
    <v>New York Stock Exchange</v>
    <v>61</v>
    <v>312.70999999999998</v>
    <v>341.75</v>
    <v>308.8</v>
    <v>283.47000000000003</v>
    <v>USD</v>
    <v>MCDONALD'S CORPORATION</v>
    <v>MCDONALD'S CORPORATION</v>
    <v>25.8445</v>
    <v>308.93</v>
    <v>Hotels &amp; Entertainment Services</v>
    <v>110 N Carpenter St, CHICAGO, IL, 60607-2104 US</v>
    <v>MCD</v>
    <v>Acciones</v>
    <v>MCDONALD'S CORPORATION (XNYS:MCD)</v>
    <v>615</v>
    <v>3286695</v>
  </rv>
  <rv s="2">
    <v>62</v>
  </rv>
  <rv s="0">
    <v>https://www.bing.com/financeapi/forcetrigger?t=a1q6k2&amp;q=XNAS%3aCOST&amp;form=skydnc</v>
    <v>Learn more on Bing</v>
  </rv>
  <rv s="1">
    <v>es-ES</v>
    <v>a1q6k2</v>
    <v>268435456</v>
    <v>1</v>
    <v>Con tecnología de Refinitiv</v>
    <v>0</v>
    <v>1</v>
    <v>COSTCO WHOLESALE CORPORATION (XNAS:COST)</v>
    <v>3</v>
    <v>4</v>
    <v>Finance</v>
    <v>6</v>
    <v>XNAS</v>
    <v>443652500</v>
    <v>1987</v>
    <v>975.69</v>
    <v>1.002</v>
    <v>4.79</v>
    <v>4.914E-3</v>
    <v>434624171625</v>
    <v>974.86</v>
    <v>Costco Wholesale Corporation (Costco) opera almacenes de membresía y sitios de comercio electrónico que ofrecen una selección de productos de marca nacional y de marca privada en una amplia gama de categorías. La Compañía compra la mayoría de sus mercancías directamente a los proveedores y la dirige a puntos de consolidación de cross-docking (depósitos) o directamente a sus almacenes. Opera 891 almacenes, incluyendo 614 en los Estados Unidos y Puerto Rico, 108 en Canadá, 40 en México, 35 en Japón, 29 en el Reino Unido, 19 en Corea, 15 en Australia, 14 en Taiwán, siete en China, y más. cinco en España, dos en Francia, y uno en Islandia, Nueva Zelanda y Suecia. También opera sitios de comercio electrónico en los Estados Unidos, Canadá, el Reino Unido, México, Corea, Taiwán, Japón y Australia. La Compañía ofrece una amplia selección de mercancías, además de la conveniencia de departamentos especializados y servicios exclusivos para miembros.</v>
    <v>341000</v>
    <v>XNAS</v>
    <v>46107.999657928121</v>
    <v>Nasdaq Stock Market</v>
    <v>64</v>
    <v>987.19</v>
    <v>1067.08</v>
    <v>972.7201</v>
    <v>844.06</v>
    <v>USD</v>
    <v>COSTCO WHOLESALE CORPORATION</v>
    <v>COSTCO WHOLESALE CORPORATION</v>
    <v>52.4771</v>
    <v>979.65</v>
    <v>Diversified Retail</v>
    <v>999 Lake Dr, ISSAQUAH, WA, 98027- US</v>
    <v>COST</v>
    <v>Acciones</v>
    <v>COSTCO WHOLESALE CORPORATION (XNAS:COST)</v>
    <v>99</v>
    <v>1816374</v>
  </rv>
  <rv s="2">
    <v>65</v>
  </rv>
  <rv s="0">
    <v>https://www.bing.com/financeapi/forcetrigger?t=a1ngur&amp;q=XNYS%3aAMT&amp;form=skydnc</v>
    <v>Learn more on Bing</v>
  </rv>
  <rv s="1">
    <v>es-ES</v>
    <v>a1ngur</v>
    <v>268435456</v>
    <v>1</v>
    <v>Con tecnología de Refinitiv</v>
    <v>0</v>
    <v>1</v>
    <v>AMERICAN TOWER CORPORATION (XNYS:AMT)</v>
    <v>3</v>
    <v>4</v>
    <v>Finance</v>
    <v>6</v>
    <v>XNYS</v>
    <v>466084800</v>
    <v>1996</v>
    <v>167.29</v>
    <v>0.94320000000000004</v>
    <v>1.65</v>
    <v>9.8640000000000012E-3</v>
    <v>78731044416</v>
    <v>167.27</v>
    <v>American Tower Corporation es un fideicomiso global de inversión en bienes raíces (REIT) y propietario, operador y desarrollador independiente de bienes raíces de comunicaciones de múltiples inquilinos con una cartera de casi 150.000 sitios de comunicaciones y una huella altamente interconectada de instalaciones de centros de datos de los Estados Unidos. Los segmentos de la Compañía incluyen propiedades de Estados Unidos y Canadá, propiedad de África y APAC, propiedad de Europa, propiedad de América Latina, centros de datos y servicios. El negocio principal de la Compañía es arrendar espacio en sitios de comunicaciones de múltiples inquilinos a proveedores de servicios inalámbricos, compañías de radio y televisión, proveedores de datos inalámbricos, agencias gubernamentales y municipalidades e inquilinos en una serie de otras industrias. El segmento de centros de datos de la compañía se relaciona con las instalaciones de centros de datos y activos relacionados que posee y opera en los Estados Unidos. Su segmento de servicios ofrece servicios relacionados con torres en los Estados Unidos, incluyendo AZP, análisis estructurales y de monturas, y gestión de construcción.</v>
    <v>4866</v>
    <v>XNYS</v>
    <v>46107.993877892972</v>
    <v>New York Stock Exchange</v>
    <v>67</v>
    <v>169.07</v>
    <v>234.33</v>
    <v>165.75</v>
    <v>165.08</v>
    <v>USD</v>
    <v>AMERICAN TOWER CORPORATION</v>
    <v>AMERICAN TOWER CORPORATION</v>
    <v>31.300799999999999</v>
    <v>168.92</v>
    <v>Residential &amp; Commercial REIT</v>
    <v>116 Huntington Ave, BOSTON, MA, 02116 US</v>
    <v>AMT</v>
    <v>Acciones</v>
    <v>AMERICAN TOWER CORPORATION (XNYS:AMT)</v>
    <v>10</v>
    <v>3301048</v>
  </rv>
  <rv s="2">
    <v>68</v>
  </rv>
  <rv s="0">
    <v>https://www.bing.com/financeapi/forcetrigger?t=a1rdzr&amp;q=XNYS%3aDUK&amp;form=skydnc</v>
    <v>Learn more on Bing</v>
  </rv>
  <rv s="7">
    <v>es-ES</v>
    <v>a1rdzr</v>
    <v>268435456</v>
    <v>1</v>
    <v>Con tecnología de Refinitiv</v>
    <v>17</v>
    <v>18</v>
    <v>DUKE ENERGY CORPORATION (XNYS:DUK)</v>
    <v>3</v>
    <v>19</v>
    <v>Finance</v>
    <v>20</v>
    <v>XNYS</v>
    <v>778117600</v>
    <v>2005</v>
    <v>128.33000000000001</v>
    <v>0.46760000000000002</v>
    <v>1.22</v>
    <v>9.5189999999999997E-3</v>
    <v>100672855088</v>
    <v>128.16</v>
    <v>Duke Energy Corporation es una empresa de cartera de energía. La compañía opera a través de dos segmentos: Servicios e infraestructura eléctricos (UE&amp;I) y servicios e infraestructura del gas (GU&amp;I). El segmento de la UE e i realiza operaciones principalmente a través de los servicios públicos regulados de Duke Energy Carolinas, Duke Energy Progress, Duke Energy Florida, Duke Energy Indiana y Duke Energy Ohio. La UE&amp;i presta servicios de electricidad al por menor mediante la generación, transmisión, distribución y venta de electricidad a clientes de las regiones del sudeste y el medio oeste de los Estados Unidos. El segmento GU&amp;i realiza operaciones de gas natural principalmente a través de los servicios públicos regulados de Piedmont, Duke Energy Ohio y Duke Energy Kentucky. GU&amp;I atiende a clientes residenciales, comerciales, industriales y de generación de energía natural, incluidos los clientes atendidos por municipios que son clientes mayoristas. También compra una cartera diversa de servicios de transporte y almacenamiento de tuberías interestatales.</v>
    <v>26441</v>
    <v>XNYS</v>
    <v>46107.997359027344</v>
    <v>New York Stock Exchange</v>
    <v>70</v>
    <v>129.875</v>
    <v>134.49</v>
    <v>127.895</v>
    <v>111.22</v>
    <v>USD</v>
    <v>DUKE ENERGY CORPORATION</v>
    <v>DUKE ENERGY CORPORATION</v>
    <v>20.466999999999999</v>
    <v>129.38</v>
    <v>129.38999999999999</v>
    <v>Electrical Utilities &amp; IPPs</v>
    <v>525 South Tryon Street, CHARLOTTE, NC, 28202-1803 US</v>
    <v>DUK</v>
    <v>Acciones</v>
    <v>DUKE ENERGY CORPORATION (XNYS:DUK)</v>
    <v>8</v>
    <v>4874607</v>
  </rv>
  <rv s="2">
    <v>71</v>
  </rv>
  <rv s="0">
    <v>https://www.bing.com/financeapi/forcetrigger?t=a24xww&amp;q=XNYS%3aUNP&amp;form=skydnc</v>
    <v>Learn more on Bing</v>
  </rv>
  <rv s="1">
    <v>es-ES</v>
    <v>a24xww</v>
    <v>268435456</v>
    <v>1</v>
    <v>Con tecnología de Refinitiv</v>
    <v>0</v>
    <v>1</v>
    <v>UNION PACIFIC CORPORATION (XNYS:UNP)</v>
    <v>3</v>
    <v>4</v>
    <v>Finance</v>
    <v>6</v>
    <v>XNYS</v>
    <v>593391500</v>
    <v>1969</v>
    <v>239.35</v>
    <v>0.97260000000000002</v>
    <v>-2.14</v>
    <v>-8.8680000000000009E-3</v>
    <v>142001912577</v>
    <v>241.33</v>
    <v>Union Pacific Corporation, a través de su principal empresa operativa, Union Pacific Railroad Company, conecta por ferrocarril a más de 23 estados en los dos tercios occidentales del país, lo que proporciona un eslabón crítico en la cadena de suministro global. Mantiene horarios coordinados con otros transportistas ferroviarios para trasladar mercancías hacia y desde la costa atlántica, la costa del Pacífico, el sureste, el suroeste, Canadá, y México. La diversificada mezcla de negocios del ferrocarril incluye a granel, industrial y premium. Sus envíos a granel consisten en granos y productos de grano, fertilizantes, alimentos y refrigerados, y carbón y energías renovables. Los envíos industriales consisten en varias categorías, incluyendo construcción, productos químicos industriales, plásticos, productos forestales, productos especializados (principalmente residuos, sal y techos), metales y minerales, petróleo, gases líquidos de petróleo (GLP), ceniza de soda y arena. Sus envíos Premium incluyen automóviles terminados, piezas de automóviles y mercancía en contenedores intermodales.</v>
    <v>29287</v>
    <v>XNYS</v>
    <v>46107.993437626559</v>
    <v>New York Stock Exchange</v>
    <v>73</v>
    <v>241.58500000000001</v>
    <v>268.14</v>
    <v>238.28</v>
    <v>204.66</v>
    <v>USD</v>
    <v>UNION PACIFIC CORPORATION</v>
    <v>UNION PACIFIC CORPORATION</v>
    <v>19.9602</v>
    <v>239.19</v>
    <v>Freight &amp; Logistics Services</v>
    <v>1400 Douglas Street, OMAHA, NE, 68179 US</v>
    <v>UNP</v>
    <v>Acciones</v>
    <v>UNION PACIFIC CORPORATION (XNYS:UNP)</v>
    <v>231</v>
    <v>3020317</v>
  </rv>
  <rv s="2">
    <v>74</v>
  </rv>
  <rv s="0">
    <v>https://www.bing.com/financeapi/forcetrigger?t=a1sp52&amp;q=XNYS%3aFCX&amp;form=skydnc</v>
    <v>Learn more on Bing</v>
  </rv>
  <rv s="1">
    <v>es-ES</v>
    <v>a1sp52</v>
    <v>268435456</v>
    <v>1</v>
    <v>Con tecnología de Refinitiv</v>
    <v>0</v>
    <v>1</v>
    <v>FREEPORT-MCMORAN INC. (XNYS:FCX)</v>
    <v>3</v>
    <v>4</v>
    <v>Finance</v>
    <v>5</v>
    <v>XNYS</v>
    <v>1437202000</v>
    <v>1987</v>
    <v>55.36</v>
    <v>1.4850000000000001</v>
    <v>-1.26</v>
    <v>-2.2069999999999999E-2</v>
    <v>80238987660</v>
    <v>57.09</v>
    <v>Freeport-McMoRan Inc. Es una compañía internacional de metales centrada en el cobre. La Compañía opera activos geográficamente diversos con importantes reservas minerales probadas y probables de cobre, oro y molibdeno. Los segmentos de la Compañía incluyen las minas de cobre Morenci y Cerro Verde, las operaciones en Indonesia (incluyendo el distrito de Grasberg Minerals y las instalaciones de procesamiento aguas abajo de PT-FI), las operaciones de Rod &amp; Refining y Fundición y Refinación de Cobre Atlántico. Sus operaciones incluyen América del Norte, América del Sur e Indonesia. En Norteamérica, gestiona siete operaciones de cobre: Morenci, Bagdad, Safford (incluyendo Lone Star), Sierrita y Miami en Arizona, y Chino y Tyrone en Nuevo México, y dos minas de molibdeno: Henderson y Climax en Colorado. También opera una fundición de cobre en Miami, Arizona. En América del Sur, gestiona dos operaciones de cobre: Cerro Verde en Perú y El Abra en Chile. Además del cobre, el distrito de Grasberg Minerals también produce oro y plata.</v>
    <v>29000</v>
    <v>XNYS</v>
    <v>46107.999944767966</v>
    <v>New York Stock Exchange</v>
    <v>76</v>
    <v>56.21</v>
    <v>69.75</v>
    <v>54.9</v>
    <v>27.66</v>
    <v>USD</v>
    <v>FREEPORT-MCMORAN INC.</v>
    <v>FREEPORT-MCMORAN INC.</v>
    <v>36.556899999999999</v>
    <v>55.83</v>
    <v>Metals &amp; Mining</v>
    <v>333 N Central Ave, PHOENIX, AZ, 85004 US</v>
    <v>FCX</v>
    <v>Acciones</v>
    <v>FREEPORT-MCMORAN INC. (XNYS:FCX)</v>
    <v>8839</v>
    <v>19178722</v>
  </rv>
  <rv s="2">
    <v>77</v>
  </rv>
  <rv s="0">
    <v>https://www.bing.com/financeapi/forcetrigger?t=a24c52&amp;q=XNAS%3aTMUS&amp;form=skydnc</v>
    <v>Learn more on Bing</v>
  </rv>
  <rv s="1">
    <v>es-ES</v>
    <v>a24c52</v>
    <v>268435456</v>
    <v>1</v>
    <v>Con tecnología de Refinitiv</v>
    <v>0</v>
    <v>1</v>
    <v>T-MOBILE US, INC. (XNAS:TMUS)</v>
    <v>3</v>
    <v>4</v>
    <v>Finance</v>
    <v>5</v>
    <v>XNAS</v>
    <v>1101863000</v>
    <v>2004</v>
    <v>212.58</v>
    <v>0.41949999999999998</v>
    <v>0.23</v>
    <v>1.088E-3</v>
    <v>233143192170</v>
    <v>211.36</v>
    <v>T-Mobile US, Inc. Es un proveedor de servicios de comunicaciones inalámbricas, incluyendo voz, mensajería y datos, bajo sus marcas insignia, T-Mobile y Metro by T-Mobile, y Mint Mobile, en los Estados Unidos, Puerto Rico y las Islas Vírgenes de los Estados Unidos. Proporciona servicios de comunicaciones inalámbricas principalmente utilizando su red 4G Evolution a largo plazo y su red de tecnología 5G. También ofrece una selección de dispositivos inalámbricos, incluidos teléfonos, tabletas y otros dispositivos de comunicación móvil, y accesorios para la venta, así como financiación a través de planes de pago de equipos. Su principal oferta de plan de servicio es Go5G Plus, que incluye llamadas, mensajes de texto y datos ilimitados en su red, acceso 5G sin costo adicional, funciones de protección contra estafas y más. Además de sus servicios de comunicaciones inalámbricas, la Compañía también ofrece Internet de alta velocidad, que incluye un producto inalámbrico fijo que utiliza el exceso de capacidad de su red nacional 5G. También proporciona soluciones publicitarias.</v>
    <v>75000</v>
    <v>XNAS</v>
    <v>46107.994833784374</v>
    <v>Nasdaq Stock Market</v>
    <v>79</v>
    <v>213.47</v>
    <v>272.60000000000002</v>
    <v>210.93</v>
    <v>181.36</v>
    <v>USD</v>
    <v>T-MOBILE US, INC.</v>
    <v>T-MOBILE US, INC.</v>
    <v>21.776399999999999</v>
    <v>211.59</v>
    <v>Telecommunications Services</v>
    <v>12920 Se 38Th Street, BELLEVUE, WA, 98006 US</v>
    <v>TMUS</v>
    <v>Acciones</v>
    <v>T-MOBILE US, INC. (XNAS:TMUS)</v>
    <v>3</v>
    <v>5530512</v>
  </rv>
  <rv s="2">
    <v>80</v>
  </rv>
  <rv s="0">
    <v>https://www.bing.com/financeapi/forcetrigger?t=a1slm7&amp;q=XNAS%3aMETA&amp;form=skydnc</v>
    <v>Learn more on Bing</v>
  </rv>
  <rv s="1">
    <v>es-ES</v>
    <v>a1slm7</v>
    <v>268435456</v>
    <v>1</v>
    <v>Con tecnología de Refinitiv</v>
    <v>0</v>
    <v>1</v>
    <v>META PLATFORMS, INC. (XNAS:META)</v>
    <v>3</v>
    <v>4</v>
    <v>Finance</v>
    <v>5</v>
    <v>XNAS</v>
    <v>2529555000</v>
    <v>2004</v>
    <v>582.49</v>
    <v>1.2945</v>
    <v>-47.35</v>
    <v>-7.9594999999999999E-2</v>
    <v>1385032544700</v>
    <v>594.89</v>
    <v>Meta Platforms, Inc. Está construyendo conexiones humanas, impulsadas por inteligencia artificial y tecnologías inmersivas. Los productos de la Compañía permiten a las personas conectarse y compartir con amigos y familiares a través de dispositivos móviles, computadoras personales, auriculares de realidad virtual (VR) y realidad mixta (MR), realidad aumentada (AR) y wearables. También ayuda a las personas a descubrir y aprender sobre lo que está sucediendo en el mundo que les rodea, permitiendo a las personas compartir sus experiencias, ideas, fotos, videos y otros contenidos con audiencias que van desde sus familiares y amigos más cercanos hasta el público en general. Los segmentos de la compañía incluyen Family of Apps (FOA) y Reality Labs (RL). El segmento FOA incluye Facebook, Instagram, Messenger, WhatsApp e hilos. El segmento de RL incluye su hardware, software y contenido de consumo relacionado con la realidad virtual, aumentada y mixta. Sus ofertas de productos en realidad virtual incluyen sus dispositivos Meta Quest, así como software y contenido disponible a través de la Tienda Meta Horizon.</v>
    <v>78865</v>
    <v>XNAS</v>
    <v>46107.999996133593</v>
    <v>Nasdaq Stock Market</v>
    <v>82</v>
    <v>583</v>
    <v>796.25</v>
    <v>543.35</v>
    <v>479.8</v>
    <v>USD</v>
    <v>META PLATFORMS, INC.</v>
    <v>META PLATFORMS, INC.</v>
    <v>18.7318</v>
    <v>547.54</v>
    <v>Software &amp; IT Services</v>
    <v>1 Meta Way, MENLO PARK, CA, 94025 US</v>
    <v>META</v>
    <v>Acciones</v>
    <v>META PLATFORMS, INC. (XNAS:META)</v>
    <v>73210</v>
    <v>12462376</v>
  </rv>
  <rv s="2">
    <v>83</v>
  </rv>
  <rv s="0">
    <v>https://www.bing.com/financeapi/forcetrigger?t=a1mpqh&amp;q=XNYS%3aABBV&amp;form=skydnc</v>
    <v>Learn more on Bing</v>
  </rv>
  <rv s="7">
    <v>es-ES</v>
    <v>a1mpqh</v>
    <v>268435456</v>
    <v>1</v>
    <v>Con tecnología de Refinitiv</v>
    <v>17</v>
    <v>18</v>
    <v>ABBVIE INC. (XNYS:ABBV)</v>
    <v>3</v>
    <v>19</v>
    <v>Finance</v>
    <v>20</v>
    <v>XNYS</v>
    <v>1768762000</v>
    <v>2012</v>
    <v>207.19</v>
    <v>0.38179999999999997</v>
    <v>3.94</v>
    <v>1.9016999999999999E-2</v>
    <v>373421033440</v>
    <v>207.18</v>
    <v>AbbVie Inc. Es una compañía biofarmacéutica global y diversificada basada en la investigación. Se dedica a la investigación y desarrollo, fabricación, comercialización y venta de medicamentos y terapias. Su cartera de productos incluye Inmunología, Oncología, Estética, Neurociencia, Cuidado de los Ojos y otros Productos Clave. Los productos de inmunología incluyen reumatología, dermatología y gastroenterología. Los productos oncológicos incluyen Imbruvica, Venclexta/Venclyxto, Elahere y Epkinly. El portafolio de estética consiste en inyectables faciales, plásticos y medicina regenerativa, contorno corporal y productos para el cuidado de la piel. Sus productos de Neurociencia incluyen Botox Terapeutic, Vraylar, Duopa y Duodopa, Ubrelvy y Qulipta. Los productos para el cuidado de los ojos incluyen Ozurdex, Lumigan/GANFORT, Alphagan/Combigan, Restasis y otros productos para el cuidado de los ojos. Otros productos clave incluyen Mavyret/Maviret, Creon y Linzess/Constella. Su candidato en investigación, la bretisilocina, es para el tratamiento de pacientes con trastorno depresivo mayor moderado a severo (MDD).</v>
    <v>57000</v>
    <v>XNYS</v>
    <v>46107.995870370316</v>
    <v>New York Stock Exchange</v>
    <v>85</v>
    <v>211.45</v>
    <v>244.81</v>
    <v>205.76</v>
    <v>164.39</v>
    <v>USD</v>
    <v>ABBVIE INC.</v>
    <v>ABBVIE INC.</v>
    <v>89.446299999999994</v>
    <v>211.12</v>
    <v>210.22</v>
    <v>Pharmaceuticals</v>
    <v>1 N Waukegan Rd, NORTH CHICAGO, IL, 60064 US</v>
    <v>ABBV</v>
    <v>Acciones</v>
    <v>ABBVIE INC. (XNYS:ABBV)</v>
    <v>209</v>
    <v>7267687</v>
  </rv>
  <rv s="2">
    <v>86</v>
  </rv>
  <rv s="0">
    <v>https://www.bing.com/financeapi/forcetrigger?t=a24p1h&amp;q=XNAS%3aTXN&amp;form=skydnc</v>
    <v>Learn more on Bing</v>
  </rv>
  <rv s="1">
    <v>es-ES</v>
    <v>a24p1h</v>
    <v>268435456</v>
    <v>1</v>
    <v>Con tecnología de Refinitiv</v>
    <v>0</v>
    <v>1</v>
    <v>TEXAS INSTRUMENTS INCORPORATED (XNAS:TXN)</v>
    <v>3</v>
    <v>4</v>
    <v>Finance</v>
    <v>6</v>
    <v>XNAS</v>
    <v>910463400</v>
    <v>1938</v>
    <v>196.1</v>
    <v>0.9909</v>
    <v>-3.36</v>
    <v>-1.7076000000000001E-2</v>
    <v>176092726194</v>
    <v>196.77</v>
    <v>Texas Instruments Incorporated es una compañía global de semiconductores que diseña, fabrica, prueba y vende chips de procesamiento analógicos e integrados para mercados tales como industria, automotriz, electrónica personal, equipos de comunicaciones, etc. y sistemas empresariales. Su segmento analógico incluye líneas de productos, como Power y Signal Chain. Power incluye productos que ayudan a los clientes a gestionar la energía en sistemas electrónicos. Su portafolio está diseñado para gestionar los requisitos de energía en diferentes niveles de voltaje, incluyendo soluciones de administración de baterías, reguladores de conmutación DC/DC, reguladores de conmutación AC/DC y aislados DC/DC, interruptores de alimentación, reguladores lineales y de baja caída, referencias de voltaje y otros. La cadena de señales incluye productos que detectan, acondicionan y miden señales del mundo real para permitir que la información se transfiera o convierta para su posterior procesamiento y control. El segmento de procesamiento integrado incluye microcontroladores, procesadores de señal digital (DSP) y procesadores de aplicaciones.</v>
    <v>33000</v>
    <v>XNAS</v>
    <v>46107.997877661721</v>
    <v>Nasdaq Stock Market</v>
    <v>88</v>
    <v>197.07</v>
    <v>231.32</v>
    <v>192.88</v>
    <v>139.94999999999999</v>
    <v>USD</v>
    <v>TEXAS INSTRUMENTS INCORPORATED</v>
    <v>TEXAS INSTRUMENTS INCORPORATED</v>
    <v>35.292999999999999</v>
    <v>193.41</v>
    <v>Semiconductors &amp; Semiconductor Equipment</v>
    <v>12500 T I Blvd, DALLAS, TX, 75243-0592 US</v>
    <v>TXN</v>
    <v>Acciones</v>
    <v>TEXAS INSTRUMENTS INCORPORATED (XNAS:TXN)</v>
    <v>813</v>
    <v>6705036</v>
  </rv>
  <rv s="2">
    <v>89</v>
  </rv>
  <rv s="0">
    <v>https://www.bing.com/financeapi/forcetrigger?t=a1uj52&amp;q=XNYS%3aHD&amp;form=skydnc</v>
    <v>Learn more on Bing</v>
  </rv>
  <rv s="7">
    <v>es-ES</v>
    <v>a1uj52</v>
    <v>268435456</v>
    <v>1</v>
    <v>Con tecnología de Refinitiv</v>
    <v>17</v>
    <v>18</v>
    <v>THE HOME DEPOT, INC. (XNYS:HD)</v>
    <v>3</v>
    <v>19</v>
    <v>Finance</v>
    <v>20</v>
    <v>XNYS</v>
    <v>996011500</v>
    <v>1978</v>
    <v>331.44</v>
    <v>1.0797000000000001</v>
    <v>-4.08</v>
    <v>-1.2270000000000001E-2</v>
    <v>327120056945</v>
    <v>332.51</v>
    <v>The Home Depot, Inc. Es un minorista especializado en mejoras para el hogar. La Compañía ofrece una variedad de materiales de construcción, productos de mejoras para el hogar, productos de césped y jardín, productos de decoración, y productos de mantenimiento, reparación y operaciones de instalaciones, en tiendas y online. También proporciona diversos servicios, incluyendo servicios de instalación de mejoras para el hogar, y alquiler de herramientas y equipos. La Compañía opera aproximadamente 2.353 tiendas minoristas, más de 800 sucursales y más de 325 centros de distribución que cumplen directamente con los pedidos de los clientes en los 50 estados, el Distrito de Columbia, Puerto Rico, las Islas Vírgenes de los Estados Unidos, Guam, 10 provincias canadienses y México. Sus tiendas promedian aproximadamente 105.000 pies cuadrados de espacio cerrado, con aproximadamente 24.000 pies cuadrados adicionales de área de jardín exterior. La Compañía presta servicios a dos grupos de clientes principales, incluidos los clientes Do-It-Yourself (DIY) y Do-It-for-Me (DIFM) y los clientes profesionales (PROS).</v>
    <v>472400</v>
    <v>XNYS</v>
    <v>46107.991162835155</v>
    <v>New York Stock Exchange</v>
    <v>91</v>
    <v>334.12</v>
    <v>426.75</v>
    <v>326.58499999999998</v>
    <v>320.2645</v>
    <v>USD</v>
    <v>THE HOME DEPOT, INC.</v>
    <v>THE HOME DEPOT, INC.</v>
    <v>23.0717</v>
    <v>328.43</v>
    <v>328</v>
    <v>Specialty Retailers</v>
    <v>2455 Paces Ferry Road, ATLANTA, GA, 30339 US</v>
    <v>HD</v>
    <v>Acciones</v>
    <v>THE HOME DEPOT, INC. (XNYS:HD)</v>
    <v>109</v>
    <v>4342830</v>
  </rv>
  <rv s="2">
    <v>92</v>
  </rv>
  <rv s="0">
    <v>https://www.bing.com/financeapi/forcetrigger?t=a1nz8m&amp;q=XNAS%3aAVGO&amp;form=skydnc</v>
    <v>Learn more on Bing</v>
  </rv>
  <rv s="1">
    <v>es-ES</v>
    <v>a1nz8m</v>
    <v>268435456</v>
    <v>1</v>
    <v>Con tecnología de Refinitiv</v>
    <v>0</v>
    <v>1</v>
    <v>BROADCOM INC. (XNAS:AVGO)</v>
    <v>3</v>
    <v>4</v>
    <v>Finance</v>
    <v>5</v>
    <v>XNAS</v>
    <v>4734668000</v>
    <v>2018</v>
    <v>314.02</v>
    <v>1.2455000000000001</v>
    <v>-9.3949999999999996</v>
    <v>-2.9468999999999999E-2</v>
    <v>1464977299220</v>
    <v>318.81</v>
    <v>Broadcom Inc. Es una empresa tecnológica global que diseña, desarrolla y suministra una gama de semiconductores, software empresarial y soluciones de seguridad. La compañía opera a través de dos segmentos: Soluciones de semiconductores y software de infraestructura. Su segmento de soluciones de semiconductores incluye todas sus líneas de productos y licencias de propiedad intelectual (IP). Proporciona una variedad de dispositivos semiconductores de radiofrecuencia, soluciones de conectividad inalámbrica, controladores táctiles personalizados y soluciones de carga inductiva para aplicaciones móviles. Su segmento de software de infraestructura incluye su nube privada e híbrida, desarrollo y entrega de aplicaciones, perímetro definido por software, redes y seguridad de aplicaciones, mainframe, soluciones distribuidas y de ciberseguridad, y su negocio FC SAN. Proporciona una cartera de soluciones de software que permiten a los clientes planificar, desarrollar, automatizar, administrar y proteger aplicaciones en plataformas de mainframe, distribuidas, móviles y en la nube.</v>
    <v>33000</v>
    <v>XNAS</v>
    <v>46107.999978332809</v>
    <v>Nasdaq Stock Market</v>
    <v>94</v>
    <v>316.92</v>
    <v>414.61</v>
    <v>309.17</v>
    <v>138.1</v>
    <v>USD</v>
    <v>BROADCOM INC.</v>
    <v>BROADCOM INC.</v>
    <v>64.866900000000001</v>
    <v>309.41500000000002</v>
    <v>Semiconductors &amp; Semiconductor Equipment</v>
    <v>3421 Hillview Avenue, PALO ALTO, CA, 94304 US</v>
    <v>AVGO</v>
    <v>Acciones</v>
    <v>BROADCOM INC. (XNAS:AVGO)</v>
    <v>45515</v>
    <v>28094991</v>
  </rv>
  <rv s="2">
    <v>95</v>
  </rv>
  <rv s="0">
    <v>https://www.bing.com/financeapi/forcetrigger?t=a25ya2&amp;q=XNYS%3aWMT&amp;form=skydnc</v>
    <v>Learn more on Bing</v>
  </rv>
  <rv s="1">
    <v>es-ES</v>
    <v>a25ya2</v>
    <v>268435456</v>
    <v>1</v>
    <v>Con tecnología de Refinitiv</v>
    <v>0</v>
    <v>1</v>
    <v>WALMART INC. (XNAS:WMT)</v>
    <v>3</v>
    <v>4</v>
    <v>Finance</v>
    <v>5</v>
    <v>XNAS</v>
    <v>7972402000</v>
    <v>1969</v>
    <v>123.61</v>
    <v>0.66800000000000004</v>
    <v>-0.88</v>
    <v>-7.1509999999999994E-3</v>
    <v>974068076360</v>
    <v>123.06</v>
    <v>Walmart Inc. Es un minorista omnicanal impulsado por la tecnología. La Compañía se dedica a la operación de tiendas y clubes minoristas y mayoristas, así como sitios web de comercio electrónico y aplicaciones móviles, ubicados en los Estados Unidos (EE.UU.), África, Canadá, Centroamérica, Chile, Estados Unidos, África, Canadá, Estados Unidos, América del Norte y el Caribe. China, India y México. Opera en tres segmentos reportables: Walmart EE.UU., Walmart International y Sam's Club EE.UU. El segmento de Walmart EE.UU. Incluye el concepto de comercialización masiva de la Compañía en los EE.UU., así como el comercio electrónico, que incluye iniciativas omnicanal y ciertas otras ofertas comerciales como servicios de publicidad. El segmento de Walmart International consiste en las operaciones de la Compañía fuera de los EE.UU. A través de sus subsidiarias, así como el comercio electrónico y las iniciativas omnicanal. El segmento de Sam's Club EE.UU. Incluye los clubes de membresía de almacén en los EE.UU., así como samsclub.com y las iniciativas omnicanal.</v>
    <v>2100000</v>
    <v>XNAS</v>
    <v>46107.99962186328</v>
    <v>Nasdaq Stock Market</v>
    <v>97</v>
    <v>123.8</v>
    <v>134.69</v>
    <v>121.79</v>
    <v>79.81</v>
    <v>USD</v>
    <v>WALMART INC.</v>
    <v>WALMART INC.</v>
    <v>44.76</v>
    <v>122.18</v>
    <v>Food &amp; Drug Retailing</v>
    <v>1 Customer Drive, BENTONVILLE, AR, 72716 US</v>
    <v>WMT</v>
    <v>Acciones</v>
    <v>WALMART INC. (XNAS:WMT)</v>
    <v>626</v>
    <v>22969126</v>
  </rv>
  <rv s="2">
    <v>98</v>
  </rv>
  <rv s="0">
    <v>https://www.bing.com/financeapi/forcetrigger?t=a1q5nm&amp;q=XNYS%3aCOP&amp;form=skydnc</v>
    <v>Learn more on Bing</v>
  </rv>
  <rv s="1">
    <v>es-ES</v>
    <v>a1q5nm</v>
    <v>268435456</v>
    <v>1</v>
    <v>Con tecnología de Refinitiv</v>
    <v>0</v>
    <v>1</v>
    <v>CONOCOPHILLIPS (XNYS:COP)</v>
    <v>3</v>
    <v>4</v>
    <v>Finance</v>
    <v>5</v>
    <v>XNYS</v>
    <v>1222339000</v>
    <v>2001</v>
    <v>129.63499999999999</v>
    <v>0.2185</v>
    <v>4.32</v>
    <v>3.3506999999999995E-2</v>
    <v>162876671750</v>
    <v>128.93</v>
    <v>ConocoPhillips es una empresa de exploración y producción. Su segmento de Alaska explora, produce, transporta y comercializa petróleo crudo, gas natural y GNL. El segmento inferior de 48 consiste en operaciones ubicadas en los 48 estados contiguos de los Estados Unidos y el Golfo de México. Las operaciones canadienses consisten en el desarrollo de arenas petrolíferas de Surmont en Alberta, el juego no convencional de Montney rico en líquidos en Columbia Británica y operaciones comerciales. El segmento de Europa, Oriente Medio y África del Norte consiste en operaciones ubicadas principalmente en el sector noruego del Mar del Norte, el Mar de Noruega, Qatar, Libia, Guinea Ecuatorial y operaciones comerciales y terminales en el Reino Unido. El segmento de Asia Pacífico tiene operaciones de exploración y producción en China, Malasia, Australia y operaciones comerciales en China, Singapur y Japón. Otro segmento internacional incluye intereses en Colombia, así como contingencias asociadas a operaciones anteriores en otros países.</v>
    <v>9900</v>
    <v>XNYS</v>
    <v>46107.999985613278</v>
    <v>New York Stock Exchange</v>
    <v>100</v>
    <v>133.55000000000001</v>
    <v>133.55000000000001</v>
    <v>129.63499999999999</v>
    <v>79.88</v>
    <v>USD</v>
    <v>CONOCOPHILLIPS</v>
    <v>CONOCOPHILLIPS</v>
    <v>21.040099999999999</v>
    <v>133.25</v>
    <v>Oil &amp; Gas</v>
    <v>925 N. Eldridge Parkway, HOUSTON, TX, 77079-2703 US</v>
    <v>COP</v>
    <v>Acciones</v>
    <v>CONOCOPHILLIPS (XNYS:COP)</v>
    <v>8737</v>
    <v>11028203</v>
  </rv>
  <rv s="2">
    <v>101</v>
  </rv>
  <rv s="0">
    <v>https://www.bing.com/financeapi/forcetrigger?t=a1u7xm&amp;q=XNYS%3aGS&amp;form=skydnc</v>
    <v>Learn more on Bing</v>
  </rv>
  <rv s="1">
    <v>es-ES</v>
    <v>a1u7xm</v>
    <v>268435456</v>
    <v>1</v>
    <v>Con tecnología de Refinitiv</v>
    <v>0</v>
    <v>1</v>
    <v>THE GOLDMAN SACHS GROUP, INC. (XNYS:GS)</v>
    <v>3</v>
    <v>4</v>
    <v>Finance</v>
    <v>5</v>
    <v>XNYS</v>
    <v>294993900</v>
    <v>1998</v>
    <v>833.79</v>
    <v>1.3221000000000001</v>
    <v>-19.2</v>
    <v>-2.2807000000000001E-2</v>
    <v>242673781896</v>
    <v>841.84</v>
    <v>Goldman Sachs Group, Inc. Es una institución financiera global que ofrece una gama de servicios financieros a una amplia y diversificada base de clientes que incluye corporaciones, instituciones financieras, gobiernos e individuos. Sus segmentos incluyen Banca y Mercados Globales, Gestión de Activos y Patrimonio y Soluciones de Plataforma. El segmento de Banca y Mercados Globales ofrece una gama de servicios, incluyendo financiación, servicios de asesoramiento, distribución de riesgos y cobertura para sus clientes institucionales y corporativos. Facilita las transacciones de los clientes y comercializa productos de renta fija, renta variable, divisas y materias primas. El segmento de gestión de activos y patrimonio gestiona activos y ofrece productos de inversión en todas las clases de activos a un conjunto diverso de clientes. También proporciona soluciones de inversión y asesoramiento patrimonial. El segmento de Soluciones de Plataforma incluye plataformas de consumo, como asociaciones que ofrecen tarjetas de crédito y financiamiento en puntos de venta, banca de transacciones y otras empresas de plataformas.</v>
    <v>47400</v>
    <v>XNYS</v>
    <v>46107.994830300784</v>
    <v>New York Stock Exchange</v>
    <v>103</v>
    <v>844.8</v>
    <v>984.7</v>
    <v>816.11</v>
    <v>439.38</v>
    <v>USD</v>
    <v>THE GOLDMAN SACHS GROUP, INC.</v>
    <v>THE GOLDMAN SACHS GROUP, INC.</v>
    <v>16.035699999999999</v>
    <v>822.64</v>
    <v>Investment Banking &amp; Investment Services</v>
    <v>200 West St, NEW YORK, NY, 10282 US</v>
    <v>GS</v>
    <v>Acciones</v>
    <v>THE GOLDMAN SACHS GROUP, INC. (XNYS:GS)</v>
    <v>1454</v>
    <v>2501619</v>
  </rv>
  <rv s="2">
    <v>104</v>
  </rv>
  <rv s="0">
    <v>https://www.bing.com/financeapi/forcetrigger?t=a1ut3m&amp;q=XNAS%3aHON&amp;form=skydnc</v>
    <v>Learn more on Bing</v>
  </rv>
  <rv s="1">
    <v>es-ES</v>
    <v>a1ut3m</v>
    <v>268435456</v>
    <v>1</v>
    <v>Con tecnología de Refinitiv</v>
    <v>0</v>
    <v>1</v>
    <v>HONEYWELL INTERNATIONAL INCORPORATION (XNAS:HON)</v>
    <v>3</v>
    <v>4</v>
    <v>Finance</v>
    <v>6</v>
    <v>XNAS</v>
    <v>635675700</v>
    <v>1985</v>
    <v>224.68</v>
    <v>0.92479999999999996</v>
    <v>-0.62</v>
    <v>-2.7460000000000002E-3</v>
    <v>143135097369</v>
    <v>225.79</v>
    <v>Honeywell International Inc. Es una compañía operativa integrada que atiende a una amplia gama de industrias y geografías alrededor del mundo, con una cartera que está respaldada por su sistema operativo Honeywell Accelerator y la plataforma Honeywell Forge. La compañía proporciona soluciones accionables para la industria aeroespacial, la automatización de edificios, la automatización industrial, la automatización de procesos y la tecnología de procesos. La Compañía suministra productos, software y servicios para aeronaves que vende a fabricantes de equipos originales (OEM) y otros clientes en una variedad de mercados finales. La cartera de soluciones y servicios de la Compañía se utiliza en edificios de todo el mundo para la prevención de incendios, el control, el acceso y la seguridad. Sus ofertas sirven como los bloques de construcción fundamentales de la automatización industrial. Sus tecnologías de sensores y sus dispositivos de vanguardia inteligente de valor añadido ofrecen conectividad en una variedad de aplicaciones de detección y medición. La compañía ofrece una cartera completa de soluciones de automatización de procesos de extremo a extremo.</v>
    <v>101000</v>
    <v>XNAS</v>
    <v>46107.996851145312</v>
    <v>Nasdaq Stock Market</v>
    <v>106</v>
    <v>228.65</v>
    <v>248.18</v>
    <v>224.43</v>
    <v>168.98670000000001</v>
    <v>USD</v>
    <v>HONEYWELL INTERNATIONAL INCORPORATION</v>
    <v>HONEYWELL INTERNATIONAL INCORPORATION</v>
    <v>32.755299999999998</v>
    <v>225.17</v>
    <v>Consumer Goods Conglomerates</v>
    <v>855 S. Mint Street, CHARLOTTE, NC, 28202 US</v>
    <v>HON</v>
    <v>Acciones</v>
    <v>HONEYWELL INTERNATIONAL INCORPORATION (XNAS:HON)</v>
    <v>286</v>
    <v>3845920</v>
  </rv>
  <rv s="2">
    <v>107</v>
  </rv>
  <rv s="0">
    <v>https://www.bing.com/financeapi/forcetrigger?t=a23a5r&amp;q=XNYS%3aSO&amp;form=skydnc</v>
    <v>Learn more on Bing</v>
  </rv>
  <rv s="1">
    <v>es-ES</v>
    <v>a23a5r</v>
    <v>268435456</v>
    <v>1</v>
    <v>Con tecnología de Refinitiv</v>
    <v>0</v>
    <v>1</v>
    <v>THE SOUTHERN COMPANY (XNYS:SO)</v>
    <v>3</v>
    <v>4</v>
    <v>Finance</v>
    <v>6</v>
    <v>XNYS</v>
    <v>1119391000</v>
    <v>1945</v>
    <v>94.59</v>
    <v>0.41720000000000002</v>
    <v>0.81</v>
    <v>8.5609999999999992E-3</v>
    <v>106812289220</v>
    <v>94.61</v>
    <v>The Southern Company es un proveedor de energía. La Compañía es propietaria de tres compañías eléctricas tradicionales, Southern Power Company y Southern Company Gas. Las compañías eléctricas tradicionales -Alabama Power, Georgia Power y Mississippi Power- operan compañías de servicios públicos que proporcionan servicio eléctrico a clientes minoristas en tres estados del sureste, además de clientes mayoristas en el sureste. Southern Power Company desarrolla, construye, adquiere, posee y administra activos de generación de energía, incluidos proyectos de energía renovable, y vende electricidad a tarifas basadas en el mercado mayorista. The Southern Company Gas es un holding de servicios de energía cuyo negocio principal es la distribución de gas natural en cuatro estados - Illinois, Georgia, Virginia y Tennessee, a través de las empresas de distribución de gas natural. Southern Company Gas también está involucrada en varios otros negocios que son complementarios a la distribución de gas natural.</v>
    <v>29800</v>
    <v>XNYS</v>
    <v>46107.993268911719</v>
    <v>New York Stock Exchange</v>
    <v>109</v>
    <v>95.53</v>
    <v>100.83499999999999</v>
    <v>94.35</v>
    <v>83.09</v>
    <v>USD</v>
    <v>THE SOUTHERN COMPANY</v>
    <v>THE SOUTHERN COMPANY</v>
    <v>24.360499999999998</v>
    <v>95.42</v>
    <v>Electrical Utilities &amp; IPPs</v>
    <v>30 Ivan Allen Jr. Blvd., N.W., ATLANTA, GA, 30308 US</v>
    <v>SO</v>
    <v>Acciones</v>
    <v>THE SOUTHERN COMPANY (XNYS:SO)</v>
    <v>37</v>
    <v>6260824</v>
  </rv>
  <rv s="2">
    <v>110</v>
  </rv>
  <rv s="8">
    <v>es-ES</v>
    <v>ccmvww</v>
    <v>268435456</v>
    <v>1</v>
    <v>Con tecnología de Refinitiv</v>
    <v>21</v>
    <v>22</v>
    <v>GE VERNOVA INC. (XNYS:GEV)</v>
    <v>23</v>
    <v>4</v>
    <v>Finance</v>
    <v>5</v>
    <v>XNYS</v>
    <v>269529400</v>
    <v>2023</v>
    <v>915</v>
    <v>1.353</v>
    <v>-50.57</v>
    <v>-5.4747999999999998E-2</v>
    <v>235331509728</v>
    <v>923.69</v>
    <v>GE Vernova Inc. Es una compañía global de energía diseñada específicamente que incluye los segmentos de energía, viento y electricidad y cuenta con el apoyo de sus negocios aceleradores. Diseña, fabrica, suministra y da servicio a tecnologías para crear un sistema de energía eléctrica sostenible, permitiendo la electrificación y la descarbonización. El segmento de energía incluye el diseño, la fabricación y el mantenimiento de tecnologías de gas, energía nuclear, hidroeléctrica y vapor, proporcionando una base crítica de energía despachable, flexible, estable y confiable. El segmento eólico incluye sus tecnologías de generación eólica, que incluyen turbinas eólicas y palas terrestres y marinas. El segmento de electrificación incluye soluciones de red, conversión y almacenamiento de energía, y tecnologías de software de electrificación necesarias para la transmisión, distribución, conversión, almacenamiento y orquestación de la electricidad desde el punto de generación hasta el punto de consumo. Su negocio acelerador incluye investigación avanzada, servicios de consultoría y servicios financieros.</v>
    <v>75000</v>
    <v>XNYS</v>
    <v>46107.999480508595</v>
    <v>New York Stock Exchange</v>
    <v>917.2636</v>
    <v>948.38</v>
    <v>871.01</v>
    <v>252.25</v>
    <v>USD</v>
    <v>GE VERNOVA INC.</v>
    <v>GE VERNOVA INC.</v>
    <v>48.948300000000003</v>
    <v>873.12</v>
    <v>Electrical Utilities &amp; IPPs</v>
    <v>58 Charles Street, CAMBRIDGE, MA, 02141 US</v>
    <v>GEV</v>
    <v>Acciones</v>
    <v>GE VERNOVA INC. (XNYS:GEV)</v>
    <v>8374</v>
    <v>2499887</v>
  </rv>
  <rv s="2">
    <v>112</v>
  </rv>
  <rv s="0">
    <v>https://www.bing.com/financeapi/forcetrigger?t=bn6lmw&amp;q=XNYS%3aBE&amp;form=skydnc</v>
    <v>Learn more on Bing</v>
  </rv>
  <rv s="9">
    <v>es-ES</v>
    <v>bn6lmw</v>
    <v>268435456</v>
    <v>1</v>
    <v>Con tecnología de Refinitiv</v>
    <v>24</v>
    <v>25</v>
    <v>BLOOM ENERGY CORPORATION (XNYS:BE)</v>
    <v>3</v>
    <v>26</v>
    <v>Finance</v>
    <v>5</v>
    <v>XNYS</v>
    <v>280548200</v>
    <v>2001</v>
    <v>145</v>
    <v>3.1547000000000001</v>
    <v>-16.489999999999998</v>
    <v>-0.10977199999999999</v>
    <v>37517710786</v>
    <v>150.22</v>
    <v>Bloom Energy Corporation se dedica a la generación de energía fija de celdas de combustible por cuota de mercado. La Compañía ofrece soluciones de tecnología de energía distribuida a los clientes. La compañía fabrica plataformas de energía de celdas de combustible avanzadas y versátiles, apoyando la disponibilidad comercial de dos productos: El Bloom Energy Server para la generación de electricidad y el Bloom Electrolyzer para la producción de hidrógeno. Con aproximadamente 1,4 gigavatios (GW) de sistemas de Servidores Energéticos desplegados en más de 1.000 ubicaciones y nueve países. Su plataforma de tecnología de celdas de combustible de óxido sólido es la base de su sistema Energy Server y Bloom Electrolyzer. El sistema Bloom Energy Server está diseñado para ofrecer energía confiable, resistente, limpia y asequible tanto para las empresas de servicios públicos como para las organizaciones. Su sistema Energy Server está diseñado para ofrecer electricidad confiable. El Bloom Electrolyzer está diseñado para proporcionar soluciones de hidrógeno basadas en la misma plataforma de óxido sólido que sus sistemas Energy Server.</v>
    <v>2214</v>
    <v>XNYS</v>
    <v>46107.999992256249</v>
    <v>New York Stock Exchange</v>
    <v>114</v>
    <v>149.50989999999999</v>
    <v>180.8999</v>
    <v>131.5</v>
    <v>15.15</v>
    <v>USD</v>
    <v>BLOOM ENERGY CORPORATION</v>
    <v>BLOOM ENERGY CORPORATION</v>
    <v>133.72999999999999</v>
    <v>Machinery, Equipment &amp; Components</v>
    <v>4353 N 1st St, SAN JOSE, CA, 95134-1259 US</v>
    <v>BE</v>
    <v>Acciones</v>
    <v>BLOOM ENERGY CORPORATION (XNYS:BE)</v>
    <v>21310</v>
    <v>10391593</v>
  </rv>
  <rv s="2">
    <v>115</v>
  </rv>
  <rv s="0">
    <v>https://www.bing.com/financeapi/forcetrigger?t=b19hc7&amp;q=XNYS%3aVRT&amp;form=skydnc</v>
    <v>Learn more on Bing</v>
  </rv>
  <rv s="1">
    <v>es-ES</v>
    <v>b19hc7</v>
    <v>268435456</v>
    <v>1</v>
    <v>Con tecnología de Refinitiv</v>
    <v>0</v>
    <v>1</v>
    <v>VERTIV HOLDINGS CO (XNYS:VRT)</v>
    <v>3</v>
    <v>4</v>
    <v>Finance</v>
    <v>5</v>
    <v>XNYS</v>
    <v>382598400</v>
    <v>2016</v>
    <v>273.81</v>
    <v>2.0158999999999998</v>
    <v>-23.76</v>
    <v>-8.6037000000000002E-2</v>
    <v>96567836160</v>
    <v>276.16000000000003</v>
    <v>Vertiv Holdings Co. Es un proveedor global de infraestructura digital crítica. Proporciona tecnologías de infraestructura digital de misión crítica y servicios de ciclo de vida principalmente para centros de datos, redes de comunicación y entornos comerciales e industriales. Sus ofertas incluyen productos de gestión de energía de corriente alterna (AC) y corriente continua (DC), productos de conmutación y barras de busque, productos de gestión térmica, sistemas de rack integrados, soluciones modulares, sistemas de gestión para monitoreo y control de infraestructura digital y servicios. Sus segmentos de negocio incluyen América, Asia Pacífico y Europa, Oriente Medio y África. El segmento de las Américas incluye productos que incluyen administración de energía de CA y CC, gestión térmica, conmutadores de baja/media tensión, barras, soluciones modulares integradas, etc. racks, UPS monofásico, distribución de energía en rack, sistemas térmicos en rack, soluciones integradas configurables, soluciones de almacenamiento de energía, hardware y software para la gestión de equipos de TI.</v>
    <v>34000</v>
    <v>XNYS</v>
    <v>46107.99995075156</v>
    <v>New York Stock Exchange</v>
    <v>117</v>
    <v>274.16000000000003</v>
    <v>282.05</v>
    <v>252.4</v>
    <v>53.6</v>
    <v>USD</v>
    <v>VERTIV HOLDINGS CO</v>
    <v>VERTIV HOLDINGS CO</v>
    <v>74.020399999999995</v>
    <v>252.4</v>
    <v>Machinery, Equipment &amp; Components</v>
    <v>505 N. Cleveland Ave., WESTERVILLE, OH, 43082 US</v>
    <v>VRT</v>
    <v>Acciones</v>
    <v>VERTIV HOLDINGS CO (XNYS:VRT)</v>
    <v>11093</v>
    <v>10362283</v>
  </rv>
  <rv s="2">
    <v>118</v>
  </rv>
  <rv s="0">
    <v>https://www.bing.com/financeapi/forcetrigger?t=a1safr&amp;q=XNYS%3aETN&amp;form=skydnc</v>
    <v>Learn more on Bing</v>
  </rv>
  <rv s="1">
    <v>es-ES</v>
    <v>a1safr</v>
    <v>268435456</v>
    <v>1</v>
    <v>Con tecnología de Refinitiv</v>
    <v>0</v>
    <v>1</v>
    <v>EATON CORPORATION PUBLIC LIMITED COMPANY (XNYS:ETN)</v>
    <v>3</v>
    <v>4</v>
    <v>Finance</v>
    <v>6</v>
    <v>XNYS</v>
    <v>387985400</v>
    <v>2012</v>
    <v>370.75</v>
    <v>1.1487000000000001</v>
    <v>-17.899999999999999</v>
    <v>-4.7732999999999998E-2</v>
    <v>138549586340</v>
    <v>375</v>
    <v>Eaton Corporation plc es una empresa inteligente de gestión de energía. Su segmento Eléctrico Américas consta de componentes eléctricos, componentes industriales, distribución y ensamblajes de energía, productos residenciales, calidad de energía monofásica y conectividad, dispositivos de cableado y otros. El segmento Electrical Global consta de componentes eléctricos, componentes industriales, distribución de energía y ensamblajes, calidad de energía monofásica y trifásica, y servicios. El segmento aeroespacial es un proveedor global de combustible aeroespacial, sistemas hidráulicos y neumáticos para uso comercial y militar y sistemas de filtración para aplicaciones industriales. El segmento de vehículos diseña, fabrica, comercializa y suministra sistemas de transmisión, de transmisión y componentes críticos. El segmento eMobility diseña, fabrica, comercializa y suministra mecánica, eléctrica, y componentes y sistemas electrónicos. La Compañía también se dedica a proporcionar monitoreo térmico para equipos eléctricos críticos.</v>
    <v>97000</v>
    <v>XNYS</v>
    <v>46107.998906145309</v>
    <v>New York Stock Exchange</v>
    <v>120</v>
    <v>373.38</v>
    <v>408.45</v>
    <v>356.67</v>
    <v>231.85</v>
    <v>USD</v>
    <v>EATON CORPORATION PUBLIC LIMITED COMPANY</v>
    <v>EATON CORPORATION PUBLIC LIMITED COMPANY</v>
    <v>34.162700000000001</v>
    <v>357.1</v>
    <v>Machinery, Equipment &amp; Components</v>
    <v>30 Pembroke Road, Eaton House, DUBLIN, DUBLIN IE</v>
    <v>ETN</v>
    <v>Acciones</v>
    <v>EATON CORPORATION PUBLIC LIMITED COMPANY (XNYS:ETN)</v>
    <v>1723</v>
    <v>2724625</v>
  </rv>
  <rv s="2">
    <v>121</v>
  </rv>
  <rv s="0">
    <v>https://www.bing.com/financeapi/forcetrigger?t=c438im&amp;q=XNAS%3aIREN&amp;form=skydnc</v>
    <v>Learn more on Bing</v>
  </rv>
  <rv s="1">
    <v>es-ES</v>
    <v>c438im</v>
    <v>268435456</v>
    <v>1</v>
    <v>Con tecnología de Refinitiv</v>
    <v>0</v>
    <v>1</v>
    <v>IREN AU (XNAS:IREN)</v>
    <v>3</v>
    <v>4</v>
    <v>Finance</v>
    <v>5</v>
    <v>XNAS</v>
    <v>398988100</v>
    <v>2018</v>
    <v>40.674999999999997</v>
    <v>4.2451999999999996</v>
    <v>-3.98</v>
    <v>-9.6065999999999999E-2</v>
    <v>14942104345</v>
    <v>41.43</v>
    <v>IREN Limited is an Australia-based company, which owns and operates data centers powered by 100% renewable energy. Its facilities are optimized for Bitcoin mining, artificial intelligence (AI) cloud services, and other power-dense compute. Its data center mining facilities are in Canal Flats, Mackenzie, Prince George and Childress. Bitcoin Mining provides security to the Bitcoin network. Al Cloud Services provides cloud compute to Al customers, approximately 1,896 NVIDIA H100 and H200 GPUs. Its Canal Flats facility is in the Canadian Rockies, 100 kilometers (km) from Cranbrook regional airport and 500km east of Vancouver. Its facility is in Prince George, the city in northern British Columbia, located 500 km north of Vancouver. Its facility is located in Childress County, Texas, over 250 miles northwest of Dallas and in close proximity to multiple wind and solar generating facilities in the region. Its Childress operations comprise 200 Mega Watt of operating data centers.</v>
    <v>257</v>
    <v>XNAS</v>
    <v>46107.999891712498</v>
    <v>Nasdaq Stock Market</v>
    <v>123</v>
    <v>40.700000000000003</v>
    <v>76.87</v>
    <v>37.25</v>
    <v>5.125</v>
    <v>USD</v>
    <v>IREN AU</v>
    <v>IREN AU</v>
    <v>49.698099999999997</v>
    <v>37.450000000000003</v>
    <v>Financial Technology (Fintech) &amp; Infrastructure</v>
    <v>Level 6, 55 Market Street, SYDNEY, NEW SOUTH WALES, 2000 AU</v>
    <v>IREN</v>
    <v>Acciones</v>
    <v>IREN AU (XNAS:IREN)</v>
    <v>166647</v>
    <v>33627064</v>
  </rv>
  <rv s="2">
    <v>124</v>
  </rv>
  <rv s="8">
    <v>es-ES</v>
    <v>cc7rjc</v>
    <v>268435456</v>
    <v>1</v>
    <v>Con tecnología de Refinitiv</v>
    <v>21</v>
    <v>22</v>
    <v>Core Scientific (XNAS:CORZ)</v>
    <v>23</v>
    <v>4</v>
    <v>Finance</v>
    <v>6</v>
    <v>XNAS</v>
    <v>315332600</v>
    <v>2020</v>
    <v>16.8</v>
    <v>2.9140000000000001</v>
    <v>-1.26</v>
    <v>-7.3899999999999993E-2</v>
    <v>4979101754</v>
    <v>17.05</v>
    <v>Core Scientific, Inc. provides digital infrastructure for high-density colocation services and digital asset mining. The Company operates dedicated, purpose-built facilities for digital asset mining and is a provider of digital infrastructure, software solutions and services to its third-party customers. Its Digital Asset Self-Mining segment consists of digital asset mining for its own account. Its Digital Asset Hosted Mining segment consists of its digital infrastructure and third-party hosting services for digital asset mining. Its Colocation segment consists of providing high-density colocation services to third parties for graphics processing units (GPU)-based high-performance computing (HPC) operations. It employs its own large fleet of computers (miners) to earn digital assets for its own account and to provide hosting services for large digital asset-mining customers, and it is in the process of allocating and converting a significant portion of its 10 facilities.</v>
    <v>325</v>
    <v>XNAS</v>
    <v>46107.982017985938</v>
    <v>Nasdaq Stock Market</v>
    <v>16.97</v>
    <v>23.63</v>
    <v>15.654999999999999</v>
    <v>6.2</v>
    <v>USD</v>
    <v>Core Scientific</v>
    <v>Core Scientific</v>
    <v>363.82490000000001</v>
    <v>15.79</v>
    <v>Financial Technology (Fintech) &amp; Infrastructure</v>
    <v>838 Walker Road, Suite 21-2105, DOVER, DE, 19904 US</v>
    <v>CORZ</v>
    <v>Acciones</v>
    <v>Core Scientific (XNAS:CORZ)</v>
    <v>683</v>
    <v>12436119</v>
  </rv>
  <rv s="2">
    <v>126</v>
  </rv>
  <rv s="0">
    <v>https://www.bing.com/financeapi/forcetrigger?t=ab5577&amp;q=XTSX%3aPNG&amp;form=skydnc</v>
    <v>Learn more on Bing</v>
  </rv>
  <rv s="1">
    <v>es-ES</v>
    <v>ab5577</v>
    <v>268435456</v>
    <v>1</v>
    <v>Con tecnología de Refinitiv</v>
    <v>0</v>
    <v>1</v>
    <v>Kraken Robotics (XTSX:PNG)</v>
    <v>3</v>
    <v>27</v>
    <v>Finance</v>
    <v>28</v>
    <v>XTSX</v>
    <v>306864800</v>
    <v>2015</v>
    <v>9.09</v>
    <v>0.96299999999999997</v>
    <v>-0.8</v>
    <v>-8.8594000000000006E-2</v>
    <v>2525497304</v>
    <v>9.0299999999999994</v>
    <v>Kraken Robotics Inc. is engaged in transforming subsea intelligence through three-dimensional (3D) imaging sensors, power solutions, and robotic systems. It offers derisking offshore energy installations through high resolution subsea geophysical, sonar, and LiDAR surveys. Its synthetic aperture sonar (SAS) is a technology evolution, integrating the capability to perform imaging and bathymetric mapping simultaneously. Its KATFISH actively stabilized SAS towfish system delivers ultra-high-resolution data of up to 2 cm x 2 cm. Its SeaPower is a subsea lithium-ion battery featuring a proprietary polymer matrix for pressure-tolerant encapsulation and an integrated battery management system (BMS). Its LiDAR solutions deliver millimeter-resolution metrologies, enabling informed decision-making on underwater assets and infrastructure. Its sub-bottom imager delivers 3D data, providing a clear understanding of subsea stratigraphy, undersea infrastructure, and hazards.</v>
    <v>282</v>
    <v>XTSX</v>
    <v>46107.833333333336</v>
    <v>TSX Venture Exchange</v>
    <v>128</v>
    <v>9.09</v>
    <v>10.72</v>
    <v>8.09</v>
    <v>2.06</v>
    <v>CAD</v>
    <v>Kraken Robotics</v>
    <v>Kraken Robotics</v>
    <v>123.88979999999999</v>
    <v>8.23</v>
    <v>Aerospace &amp; Defense</v>
    <v>189 Glencoe Dr, MOUNT PEARL, NL, A1N 4P6 CA</v>
    <v>PNG</v>
    <v>Acciones</v>
    <v>Kraken Robotics (XTSX:PNG)</v>
    <v>2082885</v>
    <v>2079760</v>
  </rv>
  <rv s="2">
    <v>129</v>
  </rv>
  <rv s="10">
    <v>es-ES</v>
    <v>cdoaec</v>
    <v>268435456</v>
    <v>1</v>
    <v>Con tecnología de Refinitiv</v>
    <v>29</v>
    <v>30</v>
    <v>Brookfield Corporation (NEOE:BN)</v>
    <v>23</v>
    <v>31</v>
    <v>Finance</v>
    <v>32</v>
    <v>NEOE</v>
    <v>2449875000</v>
    <v>2005</v>
    <v>54.67</v>
    <v>1.5916999999999999</v>
    <v>-0.21</v>
    <v>-3.8069999999999996E-3</v>
    <v>117132600000</v>
    <v>55.16</v>
    <v>Brookfield Corporation es una firma de inversión global con sede en Canadá enfocada en la construcción de riqueza a largo plazo para instituciones e individuos de todo el mundo. La Compañía tiene tres negocios principales: Gestión de activos alternativos, Soluciones de patrimonio y sus negocios operativos, que se encuentran en energía renovable, infraestructura, servicios empresariales e industriales, y bienes raíces. Su negocio de gestión de activos incluye la gestión de fondos privados a largo plazo, estrategias perpetuas y estrategias líquidas en nombre de sus inversores y de sí mismo. El negocio de Wealth Solutions de la Compañía incluye su participación contabilizada en Brookfield Wealth Solutions Ltd. Su negocio de energía renovable y transición incluye la propiedad, operación y desarrollo de activos de generación de energía solar hidroeléctrica, eólica, a escala de servicios públicos, energía distribuida y soluciones sostenibles. El negocio de infraestructura de la Compañía incluye la propiedad, operación y desarrollo de servicios públicos, transporte, midstream y activos de datos.</v>
    <v>250000</v>
    <v>NEOE</v>
    <v>46107.832918680469</v>
    <v>NEO Exchange</v>
    <v>55.93</v>
    <v>68.42</v>
    <v>54.63</v>
    <v>41.313400000000001</v>
    <v>CAD</v>
    <v>Brookfield Corporation</v>
    <v>Brookfield Corporation</v>
    <v>54.95</v>
    <v>Investment Banking &amp; Investment Services</v>
    <v>Brookfield Place, 181 Bay St, Ste 100, Po Box 762, TORONTO, ON, M5J 2T3 CA</v>
    <v>BN</v>
    <v>Acciones</v>
    <v>Brookfield Corporation (NEOE:BN)</v>
    <v>42956</v>
    <v>6323650</v>
  </rv>
  <rv s="2">
    <v>131</v>
  </rv>
  <rv s="0">
    <v>https://www.bing.com/financeapi/forcetrigger?t=a23d9c&amp;q=XNYS%3aSPGI&amp;form=skydnc</v>
    <v>Learn more on Bing</v>
  </rv>
  <rv s="7">
    <v>es-ES</v>
    <v>a23d9c</v>
    <v>268435456</v>
    <v>1</v>
    <v>Con tecnología de Refinitiv</v>
    <v>17</v>
    <v>18</v>
    <v>S&amp;P GLOBAL INC. (XNYS:SPGI)</v>
    <v>3</v>
    <v>19</v>
    <v>Finance</v>
    <v>20</v>
    <v>XNYS</v>
    <v>298800000</v>
    <v>1925</v>
    <v>406.78</v>
    <v>1.2285999999999999</v>
    <v>3.97</v>
    <v>9.7190000000000002E-3</v>
    <v>123240060000</v>
    <v>408.48</v>
    <v>S&amp;P Global Inc. Proporciona información esencial. Sus operaciones constan de cinco empresas: S&amp;P Global Market Intelligence (Market Intelligence), S&amp;P Global Ratings (Ratings), S&amp;P Global Commodity Insights (Commodity Insights), S&amp;P Global Mobility (Mobility) e índices S&amp;P Dow Jones (índices). Market Intelligence es un proveedor global de datos y análisis de múltiples activos integrados con soluciones de flujo de trabajo especialmente diseñadas. Ratings es un proveedor independiente de calificaciones crediticias, investigación y análisis, que ofrece a los inversores y otros participantes del mercado información, calificaciones y puntos de referencia. Commodity Insights es un proveedor independiente de información y precios de referencia para los mercados de materias primas y energía. Mobility es un proveedor de soluciones que sirven a toda la cadena de valor del automóvil, incluidos los fabricantes y minoristas de vehículos. Indices es un proveedor global de índices que mantiene una variedad de valores e índices de referencia para asesores de inversión, gestores de patrimonio e inversores institucionales.</v>
    <v>44500</v>
    <v>XNYS</v>
    <v>46107.989167546097</v>
    <v>New York Stock Exchange</v>
    <v>133</v>
    <v>415.35</v>
    <v>579.04999999999995</v>
    <v>406.2</v>
    <v>381.60500000000002</v>
    <v>USD</v>
    <v>S&amp;P GLOBAL INC.</v>
    <v>S&amp;P GLOBAL INC.</v>
    <v>28.133800000000001</v>
    <v>412.45</v>
    <v>411.5</v>
    <v>Professional &amp; Commercial Services</v>
    <v>55 Water Street, NEW YORK, NY, 10041 US</v>
    <v>SPGI</v>
    <v>Acciones</v>
    <v>S&amp;P GLOBAL INC. (XNYS:SPGI)</v>
    <v>53</v>
    <v>2431922</v>
  </rv>
  <rv s="2">
    <v>134</v>
  </rv>
  <rv s="0">
    <v>https://www.bing.com/financeapi/forcetrigger?t=aajkoc&amp;q=XWBO%3aSAF&amp;form=skydnc</v>
    <v>Learn more on Bing</v>
  </rv>
  <rv s="11">
    <v>es-ES</v>
    <v>aajkoc</v>
    <v>268435456</v>
    <v>1</v>
    <v>Con tecnología de Refinitiv</v>
    <v>33</v>
    <v>34</v>
    <v>Safran SA (XWBO:SAF)</v>
    <v>3</v>
    <v>35</v>
    <v>Finance</v>
    <v>10</v>
    <v>XWBO</v>
    <v>418344600</v>
    <v>1956</v>
    <v>285.89999999999998</v>
    <v>1.1936</v>
    <v>-9.6999999999999993</v>
    <v>-3.3161999999999997E-2</v>
    <v>136296700000</v>
    <v>292.5</v>
    <v>Safran SA es una empresa con sede en Francia. La Compañía es un grupo de alta tecnología dedicado a la investigación, diseño, desarrollo, pruebas, fabricación, ventas, mantenimiento y soporte de sistemas aeroespaciales y de defensa avanzados. Opera a través de tres segmentos principales: Aerospace Propulsion, que desarrolla y produce sistemas de propulsión y transmisión de potencia mecánica para aeronaves comerciales y militares, helicópteros, satélites y drones, junto con servicios relacionados de MRO y repuestos; Aircraft Equipment, que incluye sistemas de aterrizaje y frenado, sistemas y equipos de motores, sistemas eléctricos e ingeniería, sistemas aéreos, y electrónica &amp; defensa; y Aircraft Interiors, que abarca asientos de aeronaves, equipamiento de cabina, compartimentos, sistemas de entretenimiento en vuelo y equipos de cabina de pilotaje.</v>
    <v>103710</v>
    <v>XWBO</v>
    <v>46105</v>
    <v>Wiener Boerse</v>
    <v>136</v>
    <v>285.89999999999998</v>
    <v>281.3</v>
    <v>EUR</v>
    <v>Safran SA</v>
    <v>Safran SA</v>
    <v>14.05</v>
    <v>282.8</v>
    <v>Aerospace &amp; Defense</v>
    <v>2, Boulevard du General Martial Valin, PARIS, ILE-DE-FRANCE, 75015 FR</v>
    <v>SAF</v>
    <v>Acciones</v>
    <v>Safran SA (XWBO:SAF)</v>
    <v>68</v>
    <v>854780</v>
  </rv>
  <rv s="2">
    <v>137</v>
  </rv>
  <rv s="0">
    <v>https://www.bing.com/financeapi/forcetrigger?t=aaj4lh&amp;q=XWBO%3aGE&amp;form=skydnc</v>
    <v>Learn more on Bing</v>
  </rv>
  <rv s="11">
    <v>es-ES</v>
    <v>aaj4lh</v>
    <v>268435456</v>
    <v>1</v>
    <v>Con tecnología de Refinitiv</v>
    <v>33</v>
    <v>34</v>
    <v>GENERAL ELECTRIC COMPANY (XWBO:GE)</v>
    <v>3</v>
    <v>36</v>
    <v>Finance</v>
    <v>10</v>
    <v>XWBO</v>
    <v>1044830000</v>
    <v>1892</v>
    <v>256</v>
    <v>1.4274</v>
    <v>-6</v>
    <v>-2.3529000000000001E-2</v>
    <v>345166800000</v>
    <v>255</v>
    <v>General Electric Company, que opera como GE Aerospace, es una empresa global de propulsión, servicios y sistemas aeroespaciales. La Compañía tiene una base instalada de aproximadamente 45.000 motores de aviones comerciales y 25.000 militares. La compañía opera a través de dos segmentos: Motores y servicios comerciales y tecnologías de defensa y propulsión. El segmento de motores y servicios comerciales diseña, desarrolla, fabrica y presta servicios a reacción para fuselajes comerciales, así como para aplicaciones aeroderivadas y de aviación comercial. Sus servicios incluyen el mantenimiento, reparación y revisión (MRO) de motores y la venta de piezas de repuesto y ofrece servicios bajo una variedad de arreglos. El segmento de Tecnologías de Defensa y Propulsión proporciona motores de defensa y sistemas de aeronaves críticos y está integrado por sus empresas de Defensa y Sistemas y Tecnologías de Propulsión y Aditivos. Su cartera de marcas incluye Avio Aero, Unison, Dowty Hpellers y Colibrium Additive.</v>
    <v>57000</v>
    <v>XWBO</v>
    <v>46107</v>
    <v>Wiener Boerse</v>
    <v>139</v>
    <v>256</v>
    <v>248</v>
    <v>EUR</v>
    <v>GENERAL ELECTRIC COMPANY</v>
    <v>GENERAL ELECTRIC COMPANY</v>
    <v>36.159999999999997</v>
    <v>249</v>
    <v>Aerospace &amp; Defense</v>
    <v>1 Neumann Way, Evendale, OH, 45215 US</v>
    <v>GE</v>
    <v>Acciones</v>
    <v>GENERAL ELECTRIC COMPANY (XWBO:GE)</v>
    <v>83</v>
    <v>6211420</v>
  </rv>
  <rv s="2">
    <v>140</v>
  </rv>
  <rv s="0">
    <v>https://www.bing.com/financeapi/forcetrigger?t=a24kjc&amp;q=XNYS%3aTSM&amp;form=skydnc</v>
    <v>Learn more on Bing</v>
  </rv>
  <rv s="1">
    <v>es-ES</v>
    <v>a24kjc</v>
    <v>268435456</v>
    <v>1</v>
    <v>Con tecnología de Refinitiv</v>
    <v>0</v>
    <v>1</v>
    <v>Taiwan Semiconductor Manufacturing Company Limited (XNYS:TSM)</v>
    <v>3</v>
    <v>4</v>
    <v>Finance</v>
    <v>5</v>
    <v>XNYS</v>
    <v>5186505000</v>
    <v>1987</v>
    <v>339.82</v>
    <v>1.343</v>
    <v>-21.64</v>
    <v>-6.2229E-2</v>
    <v>1691371145550</v>
    <v>347.75</v>
    <v>Taiwan Semiconductor Manufacturing Co Ltd es una empresa con sede en Taiwán dedicada principalmente a la prestación de servicios de fabricación de circuitos integrados. Los servicios integrados de fabricación de circuitos incluyen tecnología de proceso, tecnología de proceso especial, soporte del ecosistema de diseño, tecnología de máscara, embalaje avanzado 3DFabricTM y servicios de tecnología de apilamiento de silicio. La compañía ha completado la transferencia y la producción en masa de la tecnología 5nm, y se dedica a la investigación y desarrollo de la tecnología de proceso 3nm y la tecnología de proceso 2nm. La gama de aplicaciones de productos cubre toda la industria de aplicaciones electrónicas, incluyendo computadoras personales y productos periféricos, productos de aplicaciones de información, productos de sistemas de comunicación cableados e inalámbricos, servidores y centros de datos.</v>
    <v>52045</v>
    <v>XNYS</v>
    <v>46107.999937939065</v>
    <v>New York Stock Exchange</v>
    <v>142</v>
    <v>340.91</v>
    <v>390.20499999999998</v>
    <v>325.37</v>
    <v>134.25</v>
    <v>USD</v>
    <v>Taiwan Semiconductor Manufacturing Company Limited</v>
    <v>Taiwan Semiconductor Manufacturing Company Limited</v>
    <v>30.846800000000002</v>
    <v>326.11</v>
    <v>Semiconductors &amp; Semiconductor Equipment</v>
    <v>No.8, Li-Hsin 6th Road, Hsinchu Science Park, HSINCHU, HSINCHU, 300 TW</v>
    <v>TSM</v>
    <v>Acciones</v>
    <v>Taiwan Semiconductor Manufacturing Company Limited (XNYS:TSM)</v>
    <v>87662</v>
    <v>13186339</v>
  </rv>
  <rv s="2">
    <v>143</v>
  </rv>
  <rv s="0">
    <v>https://www.bing.com/financeapi/forcetrigger?t=a1xear&amp;q=XNYS%3aMCO&amp;form=skydnc</v>
    <v>Learn more on Bing</v>
  </rv>
  <rv s="7">
    <v>es-ES</v>
    <v>a1xear</v>
    <v>268435456</v>
    <v>1</v>
    <v>Con tecnología de Refinitiv</v>
    <v>17</v>
    <v>18</v>
    <v>MOODY'S CORPORATION (XNYS:MCO)</v>
    <v>3</v>
    <v>19</v>
    <v>Finance</v>
    <v>20</v>
    <v>XNYS</v>
    <v>178003900</v>
    <v>2000</v>
    <v>423.98</v>
    <v>1.4593</v>
    <v>4.2300000000000004</v>
    <v>9.8820000000000002E-3</v>
    <v>76947525892</v>
    <v>428.05</v>
    <v>Moody's Corporation es una empresa global integrada de evaluación de riesgos. Es un proveedor global de investigación e información; datos e información, y soluciones de decisión, que ayudan a las empresas a tomar decisiones. Su segmento de MA proporciona datos, inteligencia y herramientas analíticas para ayudar a los líderes empresariales y financieros a tomar decisiones. MA consiste en un negocio de renta fija e investigación económica de primer nivel (Research &amp; Insights); un negocio de datos impulsado por bases de datos sobre empresas y crédito (Data &amp; Information), y tres empresas de suscripción basadas en la nube que sirven a los flujos de trabajo bancario, de seguros y de KYC (Soluciones de decisión). Su segmento MIS es un proveedor global de calificaciones crediticias, investigación y análisis de riesgos. Publica calificaciones crediticias y presta servicios de evaluación sobre una amplia gama de obligaciones, programas y facilidades de deuda, y las entidades que emiten dichas obligaciones en mercados de todo el mundo, incluidas diversas obligaciones corporativas, financieras y gubernamentales, y valores financieros estructurados.</v>
    <v>16076</v>
    <v>XNYS</v>
    <v>46107.989165370309</v>
    <v>New York Stock Exchange</v>
    <v>145</v>
    <v>435.09</v>
    <v>546.88</v>
    <v>423.98</v>
    <v>378.71</v>
    <v>USD</v>
    <v>MOODY'S CORPORATION</v>
    <v>MOODY'S CORPORATION</v>
    <v>31.625499999999999</v>
    <v>432.28</v>
    <v>432.28</v>
    <v>Professional &amp; Commercial Services</v>
    <v>7 World Trade Center, At 250 Greenwich Street, NEW YORK, NY, 10007 US</v>
    <v>MCO</v>
    <v>Acciones</v>
    <v>MOODY'S CORPORATION (XNYS:MCO)</v>
    <v>1</v>
    <v>1510162</v>
  </rv>
  <rv s="2">
    <v>146</v>
  </rv>
  <rv s="0">
    <v>https://www.bing.com/financeapi/forcetrigger?t=alvz8m&amp;q=XPHS%3aPA&amp;form=skydnc</v>
    <v>Learn more on Bing</v>
  </rv>
  <rv s="9">
    <v>es-ES</v>
    <v>alvz8m</v>
    <v>268435456</v>
    <v>1</v>
    <v>Con tecnología de Refinitiv</v>
    <v>24</v>
    <v>25</v>
    <v>Pacifica Hldg (XPHS:PA)</v>
    <v>3</v>
    <v>37</v>
    <v>Finance</v>
    <v>38</v>
    <v>XPHS</v>
    <v>325000000</v>
    <v>1957</v>
    <v>0.77</v>
    <v>0.52149999999999996</v>
    <v>0.01</v>
    <v>1.3158000000000001E-2</v>
    <v>325000000</v>
    <v>0.76</v>
    <v>Pacifica Holdings, Inc. is a Philippines-based company, which is engaged in the exploration, drilling and exploitation of oil, gas, and other volatile substances. The Company operates through the mineral exploration segment. The Company is also engaged in gas, oil, and power-related activities as its secondary purposes. The Company has no operations. The Company has not generated any revenues.</v>
    <v>2</v>
    <v>XPHS</v>
    <v>46108.291666666664</v>
    <v>Philippine Stock Exchange</v>
    <v>148</v>
    <v>0.77</v>
    <v>1.65</v>
    <v>0.77</v>
    <v>0.63</v>
    <v>PHP</v>
    <v>Pacifica Hldg</v>
    <v>Pacifica Hldg</v>
    <v>0.77</v>
    <v>Metals &amp; Mining</v>
    <v>Harbour Centre, R-10, Vitas, Tondo, MANILA, 1013 PH</v>
    <v>PA</v>
    <v>Acciones</v>
    <v>Pacifica Hldg (XPHS:PA)</v>
    <v>4000</v>
    <v>22500</v>
  </rv>
  <rv s="2">
    <v>149</v>
  </rv>
  <rv s="0">
    <v>https://www.bing.com/financeapi/forcetrigger?t=alvwdm&amp;q=XPHS%3aMA&amp;form=skydnc</v>
    <v>Learn more on Bing</v>
  </rv>
  <rv s="9">
    <v>es-ES</v>
    <v>alvwdm</v>
    <v>268435456</v>
    <v>1</v>
    <v>Con tecnología de Refinitiv</v>
    <v>24</v>
    <v>25</v>
    <v>MMC (XPHS:MA)</v>
    <v>3</v>
    <v>37</v>
    <v>Finance</v>
    <v>38</v>
    <v>XPHS</v>
    <v>311504200000</v>
    <v>1949</v>
    <v>7.4000000000000003E-3</v>
    <v>0.30669999999999997</v>
    <v>-4.0000000000000002E-4</v>
    <v>-5.1948000000000001E-2</v>
    <v>2510729000</v>
    <v>7.7000000000000002E-3</v>
    <v>Manila Mining Corporation is engaged in the business of mining, milling, concentrating, converting, smelting, treating, preparing for market, manufacturing, buying, selling, exchanging, and otherwise producing and dealing in precious and semi-precious metals, ores, minerals and their by-products. The Company is a holder of a valid and existing Mineral Production Sharing Agreement, consisting of approximately 211.50 hectares area located in Placer, Surigao del Norte. It has an Exploration Permit (EP) covering over 2,176.28 hectares in Placer, Surigao del Norte. The Company's subsidiary, Kalayaan Copper-Gold Resources, Inc., is the holder of Exploration Permit No. EP-XIII014-B covers an area of approximately 286.6342 hectares located in Tubod and Placer, Surigao del Norte.</v>
    <v>34</v>
    <v>XPHS</v>
    <v>46108.291666666664</v>
    <v>Philippine Stock Exchange</v>
    <v>151</v>
    <v>7.4000000000000003E-3</v>
    <v>9.7999999999999997E-3</v>
    <v>7.3000000000000001E-3</v>
    <v>5.0000000000000001E-3</v>
    <v>PHP</v>
    <v>MMC</v>
    <v>MMC</v>
    <v>7.3000000000000001E-3</v>
    <v>Metals &amp; Mining</v>
    <v>20/F Lepanto Building, 8747 Paseo de Roxas, MAKATI, 1226 PH</v>
    <v>MA</v>
    <v>Acciones</v>
    <v>MMC (XPHS:MA)</v>
    <v>33000000</v>
    <v>41100000</v>
  </rv>
  <rv s="2">
    <v>152</v>
  </rv>
  <rv s="0">
    <v>https://www.bing.com/financeapi/forcetrigger?t=aea5k2&amp;q=XPAR%3aSU&amp;form=skydnc</v>
    <v>Learn more on Bing</v>
  </rv>
  <rv s="1">
    <v>es-ES</v>
    <v>aea5k2</v>
    <v>268435456</v>
    <v>1</v>
    <v>Con tecnología de Refinitiv</v>
    <v>0</v>
    <v>1</v>
    <v>Schneider Electric SE (XPAR:SU)</v>
    <v>3</v>
    <v>39</v>
    <v>Finance</v>
    <v>10</v>
    <v>XPAR</v>
    <v>577122500</v>
    <v>1988</v>
    <v>238</v>
    <v>1.2801</v>
    <v>-3.65</v>
    <v>-1.5323E-2</v>
    <v>137614900000</v>
    <v>238.2</v>
    <v>Schneider Electric SE es una empresa con sede en Francia. La Compañía está especializada en la transformación digital de la gestión de energía y la automatización en hogares, edificios, centros de datos, infraestructuras y entornos industriales. Ofrece soluciones que abarcan la gestión de energía de media y baja tensión, sistemas energéticos seguros y tecnologías avanzadas de automatización. Sus ofertas integradas de eficiencia combinan gestión de energía, automatización y software, respaldadas por un ecosistema abierto que permite la colaboración con socios, integradores y desarrolladores para proporcionar control operativo en tiempo real y un rendimiento mejorado. Opera en más de 115 países, incluidos Francia, Europa Occidental, Estados Unidos, Norteamérica, China, la región de Asia-Pacífico y otros mercados globales.</v>
    <v>162970</v>
    <v>XPAR</v>
    <v>46108.41574074074</v>
    <v>Euronext Paris</v>
    <v>154</v>
    <v>238.2</v>
    <v>280.05</v>
    <v>234.5</v>
    <v>170.44</v>
    <v>EUR</v>
    <v>Schneider Electric SE</v>
    <v>Schneider Electric SE</v>
    <v>31.6797</v>
    <v>234.55</v>
    <v>Machinery, Equipment &amp; Components</v>
    <v>35 rue Joseph Monier, RUEIL-MALMAISON, ILE-DE-FRANCE, 92500 FR</v>
    <v>SU</v>
    <v>Acciones</v>
    <v>Schneider Electric SE (XPAR:SU)</v>
    <v>128954</v>
    <v>1159100</v>
  </rv>
  <rv s="2">
    <v>155</v>
  </rv>
  <rv s="0">
    <v>https://www.bing.com/financeapi/forcetrigger?t=a23vdm&amp;q=XNYS%3aSYK&amp;form=skydnc</v>
    <v>Learn more on Bing</v>
  </rv>
  <rv s="7">
    <v>es-ES</v>
    <v>a23vdm</v>
    <v>268435456</v>
    <v>1</v>
    <v>Con tecnología de Refinitiv</v>
    <v>17</v>
    <v>18</v>
    <v>STRYKER CORPORATION (XNYS:SYK)</v>
    <v>3</v>
    <v>19</v>
    <v>Finance</v>
    <v>20</v>
    <v>XNYS</v>
    <v>382984300</v>
    <v>1946</v>
    <v>325.68</v>
    <v>0.92269999999999996</v>
    <v>5.03</v>
    <v>1.5351999999999999E-2</v>
    <v>127411216924</v>
    <v>327.64999999999998</v>
    <v>Stryker Corporation es una empresa de tecnología médica. La Compañía ofrece productos y servicios en MedSurg, Neurotecnología y Ortopedia que ayudan a mejorar los resultados del paciente y de la atención médica. Sus segmentos incluyen MedSurg y Neurotecnología y Ortopedia. Sus productos MedSurg incluyen equipos quirúrgicos, tecnologías de seguridad para pacientes y cuidadores, y sistemas de navegación (Instrumentos), sistemas endoscópicos y de comunicaciones (Endoscopia), y manejo de pacientes, equipos médicos de emergencia, productos desechables de cuidados intensivos y tecnología de plataforma de atención virtual asistida por inteligencia artificial (Médica). La neurotecnología incluye productos de implantes neuroquirúrgicos, neurovasculares y craneomaxilofaciales. Sus productos de Ortopedia incluyen principalmente implantes utilizados en reemplazos totales de articulaciones, como cadera, rodilla y hombro, y cirugías de trauma y extremidades. La compañía también ofrece soluciones para la eliminación de coágulos de tromboembolia venosa sin el uso de fármacos trombolíticos.</v>
    <v>56000</v>
    <v>XNYS</v>
    <v>46107.994794062499</v>
    <v>New York Stock Exchange</v>
    <v>157</v>
    <v>339.67</v>
    <v>404.87</v>
    <v>325.63</v>
    <v>324.93</v>
    <v>USD</v>
    <v>STRYKER CORPORATION</v>
    <v>STRYKER CORPORATION</v>
    <v>39.6126</v>
    <v>332.68</v>
    <v>332.02</v>
    <v>Healthcare Equipment &amp; Supplies</v>
    <v>1941 STRYKER WAY, PORTAGE, MI, 49002 US</v>
    <v>SYK</v>
    <v>Acciones</v>
    <v>STRYKER CORPORATION (XNYS:SYK)</v>
    <v>122</v>
    <v>2072591</v>
  </rv>
  <rv s="2">
    <v>158</v>
  </rv>
  <rv s="0">
    <v>https://www.bing.com/financeapi/forcetrigger?t=ae9wk2&amp;q=XPAR%3aRMS&amp;form=skydnc</v>
    <v>Learn more on Bing</v>
  </rv>
  <rv s="1">
    <v>es-ES</v>
    <v>ae9wk2</v>
    <v>268435456</v>
    <v>1</v>
    <v>Con tecnología de Refinitiv</v>
    <v>0</v>
    <v>1</v>
    <v>Hermes International SCA (XPAR:RMS)</v>
    <v>3</v>
    <v>39</v>
    <v>Finance</v>
    <v>10</v>
    <v>XPAR</v>
    <v>105569400</v>
    <v>1957</v>
    <v>1646</v>
    <v>1.4591000000000001</v>
    <v>-17</v>
    <v>-1.0360000000000001E-2</v>
    <v>236264300000</v>
    <v>1641</v>
    <v>HERMES INTERNATIONAL S.C.A. es una empresa con sede en Francia. La Empresa se especializa principalmente en el diseño, fabricación y comercialización de productos de lujo. Sus productos se dividen en artículos de cuero y talabartería, como carteras, maletas, pequeños artículos de cuero, agendas, artículos de escritura, bridas, sillas y objetos de montar a caballo y ropa, entre otros; ropa, zapatos y accesorios; productos de seda y textiles; relojes y artículos de relojería; perfumes y productos de belleza; y otros productos incluyen principalmente productos de joyería y decoración del hogar. Las filiales de la Empresa son Castille Investissements, Compagnie Hermes de Participations, Comptoir Nouveau de la Parfumerie y Grafton Immobilier, entre otras. La Empresa opera a través de tiendas en todo el mundo.</v>
    <v>26494</v>
    <v>XPAR</v>
    <v>46108.415879629632</v>
    <v>Euronext Paris</v>
    <v>160</v>
    <v>1646.5</v>
    <v>2606</v>
    <v>1624</v>
    <v>1611</v>
    <v>EUR</v>
    <v>Hermes International SCA</v>
    <v>Hermes International SCA</v>
    <v>37.636200000000002</v>
    <v>1624</v>
    <v>Textiles &amp; Apparel</v>
    <v>24 rue du Faubourg Saint Honore, PARIS, ILE-DE-FRANCE, 75008 FR</v>
    <v>RMS</v>
    <v>Acciones</v>
    <v>Hermes International SCA (XPAR:RMS)</v>
    <v>10154</v>
    <v>117690</v>
  </rv>
  <rv s="2">
    <v>161</v>
  </rv>
  <rv s="0">
    <v>https://www.bing.com/financeapi/forcetrigger?t=alnz5r&amp;q=XAMS%3aASML&amp;form=skydnc</v>
    <v>Learn more on Bing</v>
  </rv>
  <rv s="1">
    <v>es-ES</v>
    <v>alnz5r</v>
    <v>268435456</v>
    <v>1</v>
    <v>Con tecnología de Refinitiv</v>
    <v>0</v>
    <v>1</v>
    <v>ASML Holding NV (XAMS:ASML)</v>
    <v>3</v>
    <v>39</v>
    <v>Finance</v>
    <v>10</v>
    <v>XAMS</v>
    <v>388147700</v>
    <v>1994</v>
    <v>1157</v>
    <v>2.1589999999999998</v>
    <v>-20.2</v>
    <v>-1.7326999999999999E-2</v>
    <v>427971600000</v>
    <v>1165.8</v>
    <v>ASML Holding N.V. es una sociedad holding con sede en los Países Bajos. La Compañía opera a través de sus filiales en los Países Bajos, los Estados Unidos, Italia, Francia, Alemania, Reino Unido, Irlanda, Bélgica, Corea del Sur, Taiwán, Singapur, China, Hong Kong, Japón, Malasia e Israel. La Compañía opera a través de un segmento de negocios que se dedica al desarrollo, producción, comercialización, ventas, actualización y servicio de sistemas avanzados de equipos semiconductores, que consisten en litografía, metrología y sistemas de inspección. La compañía ofrece sistemas TWINSCAN, equipados con un sistema de litografía con una lámpara de mercurio como fuente de luz (i-LINE), fluoruro de criptón (KrF) y fuentes de luz de fluoruro de argón (ARF) para el procesamiento de obleas para entornos de fabricación para los que se requiere la obtención de imágenes a pequeña resolución. Los sistemas TWINSCAN también incluyen sistemas de litografía de inmersión (sistemas de inmersión TWINSCAN).</v>
    <v>43520</v>
    <v>XAMS</v>
    <v>46108.415903633591</v>
    <v>Euronext Amsterdam</v>
    <v>163</v>
    <v>1163</v>
    <v>1312.8</v>
    <v>1144.8</v>
    <v>508.4</v>
    <v>EUR</v>
    <v>ASML Holding NV</v>
    <v>ASML Holding NV</v>
    <v>43.581099999999999</v>
    <v>1145.5999999999999</v>
    <v>Semiconductors &amp; Semiconductor Equipment</v>
    <v>De Run 6501, VELDHOVEN, NOORD-BRABANT, 5504 DR NL</v>
    <v>ASML</v>
    <v>Acciones</v>
    <v>ASML Holding NV (XAMS:ASML)</v>
    <v>103719</v>
    <v>979630</v>
  </rv>
  <rv s="2">
    <v>164</v>
  </rv>
  <rv s="0">
    <v>https://www.bing.com/financeapi/forcetrigger?t=ae8cjc&amp;q=XPAR%3aDG&amp;form=skydnc</v>
    <v>Learn more on Bing</v>
  </rv>
  <rv s="1">
    <v>es-ES</v>
    <v>ae8cjc</v>
    <v>268435456</v>
    <v>1</v>
    <v>Con tecnología de Refinitiv</v>
    <v>0</v>
    <v>1</v>
    <v>Vinci SA (XPAR:DG)</v>
    <v>3</v>
    <v>39</v>
    <v>Finance</v>
    <v>10</v>
    <v>XPAR</v>
    <v>582257300</v>
    <v>1955</v>
    <v>126.95</v>
    <v>0.96379999999999999</v>
    <v>-1.5</v>
    <v>-1.1802E-2</v>
    <v>67810750000</v>
    <v>127.1</v>
    <v>Vinci SA es una empresa con sede en Francia que opera en la industria de concesiones y construcción en todo el mundo. Gestiona cuatro segmentos: Diseño y construcción de infraestructuras, Diseño, Ejecución y Mantenimiento de infraestructuras energéticas y de telecomunicaciones, Gestión de infraestructuras subcontratadas y otros. Diseño y construcción de infraestructuras (VINCI Construction): Principalmente en los campos de la construcción, la ingeniería civil y la hidráulica. Además, el grupo está desarrollando un negocio en la construcción, renovación y mantenimiento de infraestructuras de transporte (carreteras, autopistas y ferrocarriles; Eurovia), en la producción de áridos y en el desarrollo urbano; Diseño, ejecución y mantenimiento de infraestructuras de energía y telecomunicaciones (VINCI ENERGIES y COBRA IS); Gestión de infraestructuras subcontratadas (VINCI Concesiones): Principalmente gestión de carreteras y autopistas (principalmente a través de Autoroutes du Sud de la France y Cofiroute), áreas de aparcamiento, actividades aeroportuarias.</v>
    <v>292101</v>
    <v>XPAR</v>
    <v>46108.415879629632</v>
    <v>Euronext Paris</v>
    <v>166</v>
    <v>126.97499999999999</v>
    <v>143.15</v>
    <v>125.35</v>
    <v>104</v>
    <v>EUR</v>
    <v>Vinci SA</v>
    <v>Vinci SA</v>
    <v>14.337400000000001</v>
    <v>125.6</v>
    <v>Construction &amp; Engineering</v>
    <v>1973 boulevard de la Defense, NANTERRE, ILE-DE-FRANCE, 92000 FR</v>
    <v>DG</v>
    <v>Acciones</v>
    <v>Vinci SA (XPAR:DG)</v>
    <v>97981</v>
    <v>1101610</v>
  </rv>
  <rv s="2">
    <v>167</v>
  </rv>
  <rv s="0">
    <v>https://www.bing.com/financeapi/forcetrigger?t=a2har7&amp;q=OTCM%3aFRRVF&amp;form=skydnc</v>
    <v>Learn more on Bing</v>
  </rv>
  <rv s="12">
    <v>es-ES</v>
    <v>a2har7</v>
    <v>268435456</v>
    <v>1</v>
    <v>Con tecnología de Refinitiv</v>
    <v>40</v>
    <v>41</v>
    <v>Ferrovial SE (XNAS:FER)</v>
    <v>3</v>
    <v>42</v>
    <v>Finance</v>
    <v>5</v>
    <v>XNAS</v>
    <v>729555400</v>
    <v>63.03</v>
    <v>0.75739999999999996</v>
    <v>-0.83</v>
    <v>-1.3025999999999999E-2</v>
    <v>42513790000</v>
    <v>63.72</v>
    <v>Ferrovial SE es una empresa con sede en Holanda. La Compañía opera en cuatro segmentos de negocio: Construcción, Autopistas de Peaje, Aeropuertos, así como Infraestructura Energética y Movilidad. El segmento de la construcción consiste en el diseño y ejecución de todo tipo de obras públicas y privadas, incluida la construcción de infraestructura pública. El segmento de carreteras de peaje incluye el desarrollo, la financiación y la operación de carreteras de peaje. El segmento de aeropuertos consiste en el desarrollo, la financiación y la operación de los aeropuertos. El segmento de Infraestructuras Energéticas y Movilidad se centra en el desarrollo, financiamiento y operación de líneas de transmisión eléctrica y plantas de generación de energía renovable, movilidad, plantas de gestión de residuos y servicios a la industria minera en Chile.</v>
    <v>22609</v>
    <v>XNAS</v>
    <v>46107.92026361094</v>
    <v>Nasdaq Stock Market</v>
    <v>169</v>
    <v>63.51</v>
    <v>74.790000000000006</v>
    <v>62.68</v>
    <v>39.881399999999999</v>
    <v>USD</v>
    <v>Ferrovial SE</v>
    <v>Ferrovial SE</v>
    <v>43.432499999999997</v>
    <v>62.89</v>
    <v>Construction &amp; Engineering</v>
    <v>Gustav Mahlerplein 61-63, Symphony Towers, 14Th Floor, AMSTERDAM, NOORD-HOLLAND, 1082 MS NL</v>
    <v>FER</v>
    <v>Acciones</v>
    <v>Ferrovial SE (XNAS:FER)</v>
    <v>3344</v>
    <v>1341958</v>
  </rv>
  <rv s="2">
    <v>170</v>
  </rv>
  <rv s="0">
    <v>https://www.bing.com/financeapi/forcetrigger?t=a24kar&amp;q=XNAS%3aTSLA&amp;form=skydnc</v>
    <v>Learn more on Bing</v>
  </rv>
  <rv s="1">
    <v>es-ES</v>
    <v>a24kar</v>
    <v>268435456</v>
    <v>1</v>
    <v>Con tecnología de Refinitiv</v>
    <v>0</v>
    <v>1</v>
    <v>TESLA, INC. (XNAS:TSLA)</v>
    <v>3</v>
    <v>4</v>
    <v>Finance</v>
    <v>5</v>
    <v>XNAS</v>
    <v>3752432000</v>
    <v>2024</v>
    <v>381.6</v>
    <v>1.909</v>
    <v>-13.84</v>
    <v>-3.5859999999999996E-2</v>
    <v>1396317471520</v>
    <v>385.95</v>
    <v>Tesla, Inc. Diseña, desarrolla, fabrica, vende y alquila vehículos totalmente eléctricos de alto rendimiento y sistemas de generación y almacenamiento de energía, y ofrece servicios relacionados con sus productos. Sus segmentos incluyen automoción y generación y almacenamiento de energía. El segmento automotriz incluye el diseño, desarrollo, fabricación, ventas y arrendamiento de vehículos totalmente eléctricos de alto rendimiento, y la venta de créditos regulatorios automotrices. También incluye las ventas de vehículos usados, servicios de mantenimiento y colisiones sin garantía, ventas de piezas, sobrerecargos pagados, ingresos por servicios de seguros y ventas minoristas de mercancías. El segmento de generación y almacenamiento de energía incluye el diseño, fabricación, instalación, venta y arrendamiento de productos de generación y almacenamiento de energía solar y servicios relacionados e incentivos de venta de sistemas de energía solar. Sus vehículos de consumo incluyen el Modelo 3, Y, S, X y Cybertruck. Sus productos de almacenamiento de energía de batería de iones de litio incluyen Powerwall y Megapack.</v>
    <v>134785</v>
    <v>XNAS</v>
    <v>46107.999969652345</v>
    <v>Nasdaq Stock Market</v>
    <v>172</v>
    <v>384.44</v>
    <v>498.83</v>
    <v>371.87</v>
    <v>214.25</v>
    <v>USD</v>
    <v>TESLA, INC.</v>
    <v>TESLA, INC.</v>
    <v>346.02010000000001</v>
    <v>372.11</v>
    <v>Automobiles &amp; Auto Parts</v>
    <v>1 Tesla Road, AUSTIN, TX, 78725 US</v>
    <v>TSLA</v>
    <v>Acciones</v>
    <v>TESLA, INC. (XNAS:TSLA)</v>
    <v>235128</v>
    <v>60163512</v>
  </rv>
  <rv s="2">
    <v>173</v>
  </rv>
  <rv s="0">
    <v>https://www.bing.com/financeapi/forcetrigger?t=a1vt77&amp;q=XNAS%3aISRG&amp;form=skydnc</v>
    <v>Learn more on Bing</v>
  </rv>
  <rv s="7">
    <v>es-ES</v>
    <v>a1vt77</v>
    <v>268435456</v>
    <v>1</v>
    <v>Con tecnología de Refinitiv</v>
    <v>17</v>
    <v>18</v>
    <v>INTUITIVE SURGICAL, INC. (XNAS:ISRG)</v>
    <v>3</v>
    <v>19</v>
    <v>Finance</v>
    <v>20</v>
    <v>XNAS</v>
    <v>355169700</v>
    <v>1995</v>
    <v>469.1</v>
    <v>1.6780999999999999</v>
    <v>-1.43</v>
    <v>-3.0430000000000001E-3</v>
    <v>166414762935</v>
    <v>469.98</v>
    <v>Intuitive Surgical, Inc. Desarrolla, fabrica y comercializa sistemas quirúrgicos da Vinci y el sistema endoluminal Ion. La Compañía se especializa en cuidados invasivos y cirugía robótica asistida. Sus tecnologías incluyen los sistemas quirúrgicos da Vinci y el sistema endoluminal Ion. El sistema quirúrgico da Vinci está diseñado para permitir que los cirujanos realicen una gama de procedimientos quirúrgicos dentro de sus especialidades de cirugía general dirigida, urológica, ginecológica, cardiotorácica y de cabeza y cuello, y consiste en la consola o consolas de un cirujano, un carrito para el paciente y un sistema de visión de alto rendimiento. El sistema endoluminal de iones es una plataforma flexible, asistida por robot, basada en catéter, para la cual la indicación despejada es biopsias mínimamente invasivas en el pulmón y consiste en un carro del sistema, un controlador, un catéter y una sonda de visión. Su sistema Ion extiende su oferta comercial más allá de la cirugía a procedimientos diagnósticos y endoluminales.</v>
    <v>17021</v>
    <v>XNAS</v>
    <v>46107.997559478907</v>
    <v>Nasdaq Stock Market</v>
    <v>175</v>
    <v>478.25</v>
    <v>603.88</v>
    <v>465</v>
    <v>425</v>
    <v>USD</v>
    <v>INTUITIVE SURGICAL, INC.</v>
    <v>INTUITIVE SURGICAL, INC.</v>
    <v>59.503900000000002</v>
    <v>468.55</v>
    <v>468</v>
    <v>Healthcare Equipment &amp; Supplies</v>
    <v>1020 Kifer Road, SUNNYVALE, CA, 94086 US</v>
    <v>ISRG</v>
    <v>Acciones</v>
    <v>INTUITIVE SURGICAL, INC. (XNAS:ISRG)</v>
    <v>101</v>
    <v>1630518</v>
  </rv>
  <rv s="2">
    <v>176</v>
  </rv>
  <rv s="0">
    <v>https://www.bing.com/financeapi/forcetrigger?t=a1vb5r&amp;q=XNAS%3aIDXX&amp;form=skydnc</v>
    <v>Learn more on Bing</v>
  </rv>
  <rv s="1">
    <v>es-ES</v>
    <v>a1vb5r</v>
    <v>268435456</v>
    <v>1</v>
    <v>Con tecnología de Refinitiv</v>
    <v>0</v>
    <v>1</v>
    <v>IDEXX LABORATORIES, INC. (XNAS:IDXX)</v>
    <v>3</v>
    <v>4</v>
    <v>Finance</v>
    <v>6</v>
    <v>XNAS</v>
    <v>79624030</v>
    <v>1983</v>
    <v>575.26</v>
    <v>1.7158</v>
    <v>-2.4300000000000002</v>
    <v>-4.2209999999999999E-3</v>
    <v>45647660158</v>
    <v>575.72</v>
    <v>IDEXX Laboratories, Inc. Desarrolla, fabrica y distribuye productos y presta servicios principalmente para las industrias veterinaria, ganadera y avícola, lácteos y pruebas de agua de animales de compañía. La Compañía también proporciona puntos de atención médica humana y diagnósticos de laboratorio. Sus segmentos incluyen Companion Animal Group (CAG), productos de calidad del agua (Agua) y Ganadería, Aves y Lácteos (LPD). El segmento CAG ofrece productos y servicios basados en el diagnóstico y la gestión de la información para la industria veterinaria de animales de compañía, incluyendo soluciones de diagnóstico en la clínica, servicios de laboratorio de referencia externos y software y servicios veterinarios. El segmento Agua proporciona soluciones de prueba para la detección y cuantificación exactas de diversos parámetros microbiológicos en el agua. El segmento LPD proporciona pruebas de diagnóstico, servicios e instrumentación relacionada que se utilizan para controlar el estado de salud del ganado y las aves de corral, y para mejorar la calidad y seguridad de la leche.</v>
    <v>11000</v>
    <v>XNAS</v>
    <v>46107.98452578672</v>
    <v>Nasdaq Stock Market</v>
    <v>178</v>
    <v>586.21</v>
    <v>769.98</v>
    <v>570.98009999999999</v>
    <v>356.14</v>
    <v>USD</v>
    <v>IDEXX LABORATORIES, INC.</v>
    <v>IDEXX LABORATORIES, INC.</v>
    <v>43.83</v>
    <v>573.29</v>
    <v>Healthcare Equipment &amp; Supplies</v>
    <v>One Idexx Drive, WESTBROOK, ME, 04092-2041 US</v>
    <v>IDXX</v>
    <v>Acciones</v>
    <v>IDEXX LABORATORIES, INC. (XNAS:IDXX)</v>
    <v>432472</v>
    <v>516913</v>
  </rv>
  <rv s="2">
    <v>179</v>
  </rv>
  <rv s="0">
    <v>https://www.bing.com/financeapi/forcetrigger?t=bsmyr7&amp;q=XNAS%3aASTS&amp;form=skydnc</v>
    <v>Learn more on Bing</v>
  </rv>
  <rv s="1">
    <v>es-ES</v>
    <v>bsmyr7</v>
    <v>268435456</v>
    <v>1</v>
    <v>Con tecnología de Refinitiv</v>
    <v>0</v>
    <v>1</v>
    <v>AST SPACEMOBILE, INC. (XNAS:ASTS)</v>
    <v>3</v>
    <v>4</v>
    <v>Finance</v>
    <v>5</v>
    <v>XNAS</v>
    <v>382015200</v>
    <v>2019</v>
    <v>93.55</v>
    <v>2.7464</v>
    <v>-8.1999999999999993</v>
    <v>-8.5363000000000008E-2</v>
    <v>33563855472</v>
    <v>96.06</v>
    <v>AST SpaceMobile, Inc. Está comprometida en la construcción de una red global de banda ancha celular en el espacio para operar directamente con dispositivos móviles estándar, no modificados, basados en su propiedad intelectual (IP) y cartera de patentes y diseñados para aplicaciones comerciales y gubernamentales. La Compañía está dedicada al diseño y desarrollo de la constelación de satélites Bluebird (BB) y ha planificado una red de banda ancha celular basada en el espacio distribuida a través de una constelación de satélites de órbita terrestre baja (LEO). Su servicio SpaceMobile está siendo diseñado para proporcionar servicios de banda ancha celular de alta velocidad a los usuarios finales que están fuera de la cobertura celular terrestre utilizando dispositivos móviles existentes. La compañía tiene la intención de continuar probando las capacidades del satélite de prueba BW3, incluyendo nuevas pruebas con proveedores de servicios celulares y el gobierno. La Compañía tiene operaciones en India, Escocia, España e Israel.</v>
    <v>1126</v>
    <v>XNAS</v>
    <v>46107.999965786716</v>
    <v>Nasdaq Stock Market</v>
    <v>181</v>
    <v>95.75</v>
    <v>129.88999999999999</v>
    <v>87.2</v>
    <v>18.22</v>
    <v>USD</v>
    <v>AST SPACEMOBILE, INC.</v>
    <v>AST SPACEMOBILE, INC.</v>
    <v>0</v>
    <v>87.86</v>
    <v>Telecommunications Services</v>
    <v>Midland Intl. Air &amp; Space Port, 2901 Enterprise Lane, MIDLAND, TX, 79706 US</v>
    <v>ASTS</v>
    <v>Acciones</v>
    <v>AST SPACEMOBILE, INC. (XNAS:ASTS)</v>
    <v>38019</v>
    <v>12600911</v>
  </rv>
  <rv s="2">
    <v>182</v>
  </rv>
  <rv s="0">
    <v>https://www.bing.com/financeapi/forcetrigger?t=bvsk7w&amp;q=XNYS%3aPLTR&amp;form=skydnc</v>
    <v>Learn more on Bing</v>
  </rv>
  <rv s="1">
    <v>es-ES</v>
    <v>bvsk7w</v>
    <v>268435456</v>
    <v>1</v>
    <v>Con tecnología de Refinitiv</v>
    <v>0</v>
    <v>1</v>
    <v>PALANTIR TECHNOLOGIES INC. (XNAS:PLTR)</v>
    <v>3</v>
    <v>4</v>
    <v>Finance</v>
    <v>5</v>
    <v>XNAS</v>
    <v>2390671000</v>
    <v>2003</v>
    <v>153.05500000000001</v>
    <v>1.6618999999999999</v>
    <v>-7.4</v>
    <v>-4.7754000000000005E-2</v>
    <v>352767412760</v>
    <v>154.96</v>
    <v>Palantir Technologies Inc. Se dedica a la construcción de software para ayudar en las investigaciones y operaciones de contraterrorismo. La compañía ha construido cuatro plataformas de software principales, incluyendo Palantir Gotham (Gotham), Palantir Foundry (Foundry), Palantir Apollo (Apollo) y Palantir Artificial Intelligence Platform (AIP). Apollo es una única capa de control independiente de la nube que coordina la entrega continua de nuevas características, actualizaciones de seguridad y configuraciones de plataforma, ayudando a garantizar el funcionamiento continuo de los sistemas críticos. Gotham permite a los usuarios identificar patrones ocultos dentro de los conjuntos de datos, desde fuentes de inteligencia de señales hasta informes de informantes confidenciales. Fundición transforma las formas en que operan las organizaciones creando un sistema operativo central para sus datos. AIP permite una ventaja de inteligencia artificial responsable (IA) en toda la empresa mediante el uso de componentes principales, diseñados para activar de manera efectiva modelos de lenguaje grandes y otra IA dentro de cualquier organización.</v>
    <v>4429</v>
    <v>XNAS</v>
    <v>46107.999984270311</v>
    <v>Nasdaq Stock Market</v>
    <v>184</v>
    <v>153.12</v>
    <v>207.52</v>
    <v>147.25</v>
    <v>66.12</v>
    <v>USD</v>
    <v>PALANTIR TECHNOLOGIES INC.</v>
    <v>PALANTIR TECHNOLOGIES INC.</v>
    <v>233.1858</v>
    <v>147.56</v>
    <v>Software &amp; IT Services</v>
    <v>1200 17Th Street, Floor 15, DENVER, CO, 80202 US</v>
    <v>PLTR</v>
    <v>Acciones</v>
    <v>PALANTIR TECHNOLOGIES INC. (XNAS:PLTR)</v>
    <v>118151</v>
    <v>49690719</v>
  </rv>
  <rv s="2">
    <v>185</v>
  </rv>
  <rv s="0">
    <v>https://www.bing.com/financeapi/forcetrigger?t=ajmjc7&amp;q=XKRX%3a000660&amp;form=skydnc</v>
    <v>Learn more on Bing</v>
  </rv>
  <rv s="1">
    <v>es-ES</v>
    <v>ajmjc7</v>
    <v>268435456</v>
    <v>1</v>
    <v>Con tecnología de Refinitiv</v>
    <v>0</v>
    <v>1</v>
    <v>SK Hynix (XKRX:000660)</v>
    <v>3</v>
    <v>43</v>
    <v>Finance</v>
    <v>44</v>
    <v>XKRX</v>
    <v>712702300</v>
    <v>1949</v>
    <v>890000</v>
    <v>1.5817000000000001</v>
    <v>-11000</v>
    <v>-1.179E-2</v>
    <v>537265700000000</v>
    <v>933000</v>
    <v>SK Hynix Inc is a Korea-based company mainly engaged in the production and sale of semiconductor memories. The Company’s major products include dynamic random access memory (DRAM), NAND flashes, as well as multi-chip packages (MCP), among others. In addition, the Company manufactures and sells complementary metal oxide semiconductor image sensors (CISs). CISs is used in mobile phones, notebooks, tablets, medical devices, digital single lens reflex (DSLR) cameras, camcorders, automobiles, security equipments, game machines, and home appliances. The Company distributes its products within the domestic market and to overseas markets, including America, Germany, United Kingdom, Japan, Singapore, India, and China.</v>
    <v>22139</v>
    <v>XKRX</v>
    <v>46108.384722222225</v>
    <v>Korea Stock Exchange</v>
    <v>187</v>
    <v>934000</v>
    <v>1099000</v>
    <v>880000</v>
    <v>162700</v>
    <v>KRW</v>
    <v>SK Hynix</v>
    <v>SK Hynix</v>
    <v>32.47</v>
    <v>922000</v>
    <v>Semiconductors &amp; Semiconductor Equipment</v>
    <v>2091, Gyeongchung-Daero, Bubal-Eup, ICHEON, GYEONGGI-DO, 17336 KR</v>
    <v>000660</v>
    <v>Acciones</v>
    <v>SK Hynix (XKRX:000660)</v>
    <v>4520842</v>
    <v>3673790</v>
  </rv>
  <rv s="2">
    <v>188</v>
  </rv>
  <rv s="0">
    <v>https://www.bing.com/financeapi/forcetrigger?t=a1wxjc&amp;q=XNAS%3aLITE&amp;form=skydnc</v>
    <v>Learn more on Bing</v>
  </rv>
  <rv s="1">
    <v>es-ES</v>
    <v>a1wxjc</v>
    <v>268435456</v>
    <v>1</v>
    <v>Con tecnología de Refinitiv</v>
    <v>0</v>
    <v>1</v>
    <v>Lumentum Holdings Inc. (XNAS:LITE)</v>
    <v>3</v>
    <v>4</v>
    <v>Finance</v>
    <v>5</v>
    <v>XNAS</v>
    <v>71400000</v>
    <v>2015</v>
    <v>744.85</v>
    <v>1.3514999999999999</v>
    <v>-88.37</v>
    <v>-0.11370699999999999</v>
    <v>49180320000</v>
    <v>777.17</v>
    <v>Lumentum Holdings Inc. Es un diseñador y fabricante de productos ópticos y fotónicos que permiten la creación de redes ópticas y aplicaciones láser en todo el mundo. Sus segmentos incluyen Cloud &amp; Networking y Tecnología Industrial. Los productos del segmento Cloud &amp; Networking incluyen una amplia cartera de componentes, módulos y subsistemas ópticos y fotónicos suministrados a operadores de redes de nube y comunicaciones y fabricantes de equipos de red que construyen infraestructura de centros de datos en la nube, incluidos productos para aplicaciones de inteligencia artificial y aprendizaje automático (AI/ML) e interconexión de centros de datos (DCI), y redes de proveedores de servicios de comunicaciones, incluidos productos para acceso (local), metro (intraciedad), largo recorrido (ciudad a ciudad y a nivel mundial) e infraestructura de redes submarinas (submarinas). Los productos del segmento de tecnología industrial incluyen láseres de estado sólido, láseres de fibra de clase kilovatios, láseres de diodo, láseres ultrarrápidos y láseres de gas, que abordan aplicaciones en numerosos mercados finales.</v>
    <v>10562</v>
    <v>XNAS</v>
    <v>46107.999997221872</v>
    <v>Nasdaq Stock Market</v>
    <v>190</v>
    <v>753.66</v>
    <v>808.8</v>
    <v>687.58010000000002</v>
    <v>45.65</v>
    <v>USD</v>
    <v>Lumentum Holdings Inc.</v>
    <v>Lumentum Holdings Inc.</v>
    <v>210.6139</v>
    <v>688.8</v>
    <v>Communications &amp; Networking</v>
    <v>1001 Ridder Park Dr, SAN JOSE, CA, 95131-2314 US</v>
    <v>LITE</v>
    <v>Acciones</v>
    <v>Lumentum Holdings Inc. (XNAS:LITE)</v>
    <v>76779</v>
    <v>6973750</v>
  </rv>
  <rv s="2">
    <v>191</v>
  </rv>
  <rv s="0">
    <v>https://www.bing.com/financeapi/forcetrigger?t=a1nihw&amp;q=XNYS%3aANET&amp;form=skydnc</v>
    <v>Learn more on Bing</v>
  </rv>
  <rv s="1">
    <v>es-ES</v>
    <v>a1nihw</v>
    <v>268435456</v>
    <v>1</v>
    <v>Con tecnología de Refinitiv</v>
    <v>0</v>
    <v>1</v>
    <v>ARISTA NETWORKS, INC. (XNYS:ANET)</v>
    <v>3</v>
    <v>4</v>
    <v>Finance</v>
    <v>5</v>
    <v>XNYS</v>
    <v>1256538000</v>
    <v>2011</v>
    <v>131.79</v>
    <v>1.4376</v>
    <v>-12.46</v>
    <v>-9.2288999999999996E-2</v>
    <v>153988731900</v>
    <v>135.01</v>
    <v>Arista Networks, Inc. Es un proveedor de redes de cliente a nube basadas en datos para grandes entornos de inteligencia artificial (IA), centros de datos, campus y enrutamiento. Sus plataformas ofrecen disponibilidad, agilidad, automatización, análisis y seguridad a través de una pila operativa de red avanzada. Su plataforma es su Sistema Operativo Extensible (EOS), un sistema operativo de redes de distribución de estados de publicación y suscripción modernizado. Su portafolio de productos, servicios y tecnologías se agrupa en varias categorías: Core (Data Center, Cloud e AI Networking), adyacencias cognitivas (Campus y Routing) y Cognitive Network (Software y Servicios). Ofrece carteras de productos de switches Ethernet basados en datos, de alta velocidad, en la nube y en centros de datos. Sus adyacencias cognitivas incluyen Cognitive Campus Switching, Cloud-Grade Routing y WAN Routing. Su software y servicios se basan en modelos basados en suscripción e incluyen varias ofertas: CloudVision, Arista A-Care Services, CloudEOS y otros.</v>
    <v>5115</v>
    <v>XNYS</v>
    <v>46107.999783298437</v>
    <v>New York Stock Exchange</v>
    <v>193</v>
    <v>132.5</v>
    <v>164.94</v>
    <v>122.51</v>
    <v>59.43</v>
    <v>USD</v>
    <v>ARISTA NETWORKS, INC.</v>
    <v>ARISTA NETWORKS, INC.</v>
    <v>44.518599999999999</v>
    <v>122.55</v>
    <v>Communications &amp; Networking</v>
    <v>5453 Great America Pkwy, SANTA CLARA, CA, 95054 US</v>
    <v>ANET</v>
    <v>Acciones</v>
    <v>ARISTA NETWORKS, INC. (XNYS:ANET)</v>
    <v>6489</v>
    <v>6826128</v>
  </rv>
  <rv s="2">
    <v>194</v>
  </rv>
  <rv s="0">
    <v>https://www.bing.com/financeapi/forcetrigger?t=c4s6z2&amp;q=XNAS%3aCRDO&amp;form=skydnc</v>
    <v>Learn more on Bing</v>
  </rv>
  <rv s="12">
    <v>es-ES</v>
    <v>c4s6z2</v>
    <v>268435456</v>
    <v>1</v>
    <v>Con tecnología de Refinitiv</v>
    <v>40</v>
    <v>41</v>
    <v>Credo Technology Group Holding Ltd (XNAS:CRDO)</v>
    <v>3</v>
    <v>45</v>
    <v>Finance</v>
    <v>5</v>
    <v>XNAS</v>
    <v>184449900</v>
    <v>101.32</v>
    <v>2.6791999999999998</v>
    <v>-7.47</v>
    <v>-7.1889000000000008E-2</v>
    <v>17788348356</v>
    <v>103.91</v>
    <v>Credo Technology Group Holding Ltd es un holding con sede en las Islas Caimán. La Empresa ofrece soluciones de alta velocidad para eliminar barreras de banda ancha en todas las conexiones por cable del mercado de infraestructuras de datos. Ofrece soluciones de conectividad de alta velocidad que mejoran la eficiencia energética a medida que las velocidades de datos y los requisitos de banda ancha correspondientes aumentan exponencialmente en todo el mercado de infraestructuras de datos. Sus soluciones de conectividad están optimizadas para aplicaciones Ethernet ópticas y eléctricas, incluidos los mercados emergentes de puertos de 100 gigabits por segundo (G), 200G, 400G, 800G y los emergentes de 1,6 terabits por segundo (T). Sus productos se basan en sus tecnologías Serializer/Deserializer (SerDes) y Procesador Digital de Señales (PDS). Su familia de productos incluye circuitos integrados (CI) para los mercados óptico y de tarjetas en línea, cables eléctricos activos (CAE) y Chiplets SerDes. Las soluciones de propiedad intelectual (PI) de la Empresa consisten principalmente en licencias de PI de SerDes.</v>
    <v>622</v>
    <v>XNAS</v>
    <v>46107.999815149997</v>
    <v>Nasdaq Stock Market</v>
    <v>196</v>
    <v>101.64</v>
    <v>213.8</v>
    <v>96.15</v>
    <v>29.09</v>
    <v>USD</v>
    <v>Credo Technology Group Holding Ltd</v>
    <v>Credo Technology Group Holding Ltd</v>
    <v>84.263099999999994</v>
    <v>96.44</v>
    <v>Semiconductors &amp; Semiconductor Equipment</v>
    <v>C/O Maples Corporate Services, Limited, Po Box 309, Ugland House, GRAND CAYMAN, KY1-1104 KY</v>
    <v>CRDO</v>
    <v>Acciones</v>
    <v>Credo Technology Group Holding Ltd (XNAS:CRDO)</v>
    <v>15384</v>
    <v>7646849</v>
  </rv>
  <rv s="2">
    <v>197</v>
  </rv>
  <rv s="0">
    <v>https://www.bing.com/financeapi/forcetrigger?t=a1xygh&amp;q=XNAS%3aMRVL&amp;form=skydnc</v>
    <v>Learn more on Bing</v>
  </rv>
  <rv s="1">
    <v>es-ES</v>
    <v>a1xygh</v>
    <v>268435456</v>
    <v>1</v>
    <v>Con tecnología de Refinitiv</v>
    <v>0</v>
    <v>1</v>
    <v>MARVELL TECHNOLOGY, INC. (XNAS:MRVL)</v>
    <v>3</v>
    <v>4</v>
    <v>Finance</v>
    <v>5</v>
    <v>XNAS</v>
    <v>874458300</v>
    <v>2020</v>
    <v>97.96</v>
    <v>1.8580000000000001</v>
    <v>-0.77</v>
    <v>-7.8209999999999998E-3</v>
    <v>85417086744</v>
    <v>98.45</v>
    <v>Marvell Technology, Inc., junto con sus subsidiarias, es un proveedor de soluciones de semiconductores de infraestructura de datos, que abarcan el núcleo del centro de datos hasta el perímetro de la red. La compañía se dedica al diseño, desarrollo y venta de circuitos integrados. Sus soluciones de productos sirven a varios mercados finales: Centros de datos, redes empresariales, infraestructura de operadores, consumidores e industriales. Sus ofertas de productos incluyen CXL, unidades de procesamiento de datos, soluciones de seguridad, DSP coherentes, DSP coherentes, DSP coherentes, conmutadores de centro de datos, módulos ópticos DCI, conmutadores empresariales, controladores Ethernet, Phys Ethernet, PCIe Retimers, Controladores lineales, DSPs PAM, Amplificadores de transimpedancia, Canal de fibra, HDD, aceleradores de almacenamiento y controladores SSD. La compañía desarrolla soluciones de semiconductores adaptadas a las especificaciones individuales de los clientes que ofrecen diferenciación a nivel de sistema para inteligencia artificial, centro de datos, computación, redes, operador, etc. aplicaciones de almacenamiento, aeroespacial y defensa.</v>
    <v>7480</v>
    <v>XNAS</v>
    <v>46107.999801226564</v>
    <v>Nasdaq Stock Market</v>
    <v>199</v>
    <v>100.6525</v>
    <v>102.77</v>
    <v>97.2239</v>
    <v>47.085000000000001</v>
    <v>USD</v>
    <v>MARVELL TECHNOLOGY, INC.</v>
    <v>MARVELL TECHNOLOGY, INC.</v>
    <v>34.159199999999998</v>
    <v>97.68</v>
    <v>Semiconductors &amp; Semiconductor Equipment</v>
    <v>1000 N. West Street, Suite 1200, WILMINGTON, DE, 19801 US</v>
    <v>MRVL</v>
    <v>Acciones</v>
    <v>MARVELL TECHNOLOGY, INC. (XNAS:MRVL)</v>
    <v>40929</v>
    <v>20184443</v>
  </rv>
  <rv s="2">
    <v>200</v>
  </rv>
  <rv s="0">
    <v>https://www.bing.com/financeapi/forcetrigger?t=a26dyc&amp;q=XNAS%3aYNDX&amp;form=skydnc</v>
    <v>Learn more on Bing</v>
  </rv>
  <rv s="1">
    <v>es-ES</v>
    <v>a26dyc</v>
    <v>268435456</v>
    <v>1</v>
    <v>Con tecnología de Refinitiv</v>
    <v>0</v>
    <v>1</v>
    <v>Nebius Group NV (XNAS:NBIS)</v>
    <v>3</v>
    <v>4</v>
    <v>Finance</v>
    <v>5</v>
    <v>XNAS</v>
    <v>253017000</v>
    <v>2004</v>
    <v>113.255</v>
    <v>-12.207000000000001</v>
    <v>-9.1199999999999992</v>
    <v>-7.9241999999999993E-2</v>
    <v>26812211490</v>
    <v>115.09</v>
    <v>Nebius Group NV es una compañía de infraestructura con sede en Holanda que opera en la industria de la tecnología. La Compañía se dedica al desarrollo de una cartera de activos tecnológicos relacionados con la inteligencia artificial. Está involucrado en la creación de un actor centrado en la inteligencia artificial para integrar los elementos esenciales del desarrollo de la inteligencia artificial con la infraestructura, los datos y el asesoramiento a nivel mundial. Ofrece productos y servicios como una plataforma en la nube para cargas de trabajo relacionadas con la inteligencia artificial, servicios de equipo de desarrollo para vehículos autónomos, desarrollo de inteligencia artificial generativa. Nebius construye una infraestructura completa para dar servicio al crecimiento de la industria global de IA, incluidos clústeres de GPU, plataformas en la nube y herramientas y servicios para desarrolladores. La compañía está desarrollando otras tres empresas que operan bajo sus propias marcas: Toloka AI, TripleTen y Avride.</v>
    <v>1371</v>
    <v>XNAS</v>
    <v>46107.999903193748</v>
    <v>Nasdaq Stock Market</v>
    <v>202</v>
    <v>113.29989999999999</v>
    <v>141.1</v>
    <v>105.41</v>
    <v>18.309999999999999</v>
    <v>USD</v>
    <v>Nebius Group NV</v>
    <v>Nebius Group NV</v>
    <v>636.2654</v>
    <v>105.97</v>
    <v>Professional &amp; Commercial Services</v>
    <v>Schiphol Boulevard 165, SCHIPHOL, NOORD-HOLLAND, 1118BG NL</v>
    <v>NBIS</v>
    <v>Acciones</v>
    <v>Nebius Group NV (XNAS:NBIS)</v>
    <v>113779</v>
    <v>16790633</v>
  </rv>
  <rv s="2">
    <v>203</v>
  </rv>
  <rv s="0">
    <v>https://www.bing.com/financeapi/forcetrigger?t=a1vgar&amp;q=XNAS%3aIIVI&amp;form=skydnc</v>
    <v>Learn more on Bing</v>
  </rv>
  <rv s="1">
    <v>es-ES</v>
    <v>a1vgar</v>
    <v>268435456</v>
    <v>1</v>
    <v>Con tecnología de Refinitiv</v>
    <v>0</v>
    <v>1</v>
    <v>Coherent PA (XNYS:COHR)</v>
    <v>3</v>
    <v>4</v>
    <v>Finance</v>
    <v>5</v>
    <v>XNYS</v>
    <v>195270000</v>
    <v>1971</v>
    <v>261.13499999999999</v>
    <v>1.855</v>
    <v>-28.66</v>
    <v>-0.105352</v>
    <v>47524812600</v>
    <v>272.04000000000002</v>
    <v>Coherent Corp. is a vertically integrated manufacturing company that develops, manufactures, and markets lasers, transceivers, and other optical and optoelectronic devices, modules, and systems, as well as engineered materials, for use in the communications, industrial, instrumentation and electronics markets. Its segments include datacenter &amp; communications, and industrial. Its datacenter &amp; communications segment offers optical transceivers, optical circuit switches, interconnect cables, optical instruments, optoelectronic devices, communication components, and wavelength management products. Its industrial segment offers lasers, machines &amp; systems, components &amp; accessories, optics, laser measurement instruments, ceramics &amp; metal matrix, ion implantation, engineered materials, and wide-bandgap electronics. Its subsidiaries include Finisar Australia Pty Limited, Nufibre PTY LTD, Finisar Brasil Suporte De Vendas LTDA, Coherent Aerospace &amp; Defense, Inc., and Coherent Asia, Inc.</v>
    <v>30216</v>
    <v>XNYS</v>
    <v>46107.999882846874</v>
    <v>New York Stock Exchange</v>
    <v>205</v>
    <v>263</v>
    <v>300.2</v>
    <v>243.07499999999999</v>
    <v>45.58</v>
    <v>USD</v>
    <v>Coherent PA</v>
    <v>Coherent PA</v>
    <v>397.98140000000001</v>
    <v>243.38</v>
    <v>Electronic Equipment &amp; Parts</v>
    <v>375 Saxonburg Blvd, SAXONBURG, PA, 16056 US</v>
    <v>COHR</v>
    <v>Acciones</v>
    <v>Coherent PA (XNYS:COHR)</v>
    <v>26056</v>
    <v>9560317</v>
  </rv>
  <rv s="2">
    <v>206</v>
  </rv>
  <rv s="8">
    <v>es-ES</v>
    <v>cgblqh</v>
    <v>268435456</v>
    <v>1</v>
    <v>Con tecnología de Refinitiv</v>
    <v>21</v>
    <v>22</v>
    <v>COREWEAVE, INC. (XNAS:CRWV)</v>
    <v>23</v>
    <v>4</v>
    <v>Finance</v>
    <v>5</v>
    <v>XNAS</v>
    <v>525688100</v>
    <v>2017</v>
    <v>86.85</v>
    <v>2.1459999999999999</v>
    <v>-7.13</v>
    <v>-8.1410999999999997E-2</v>
    <v>42291607645</v>
    <v>87.58</v>
    <v>CoreWeave, Inc. Es una compañía de tecnología de infraestructura en la nube. La compañía ofrece CoreWeave Cloud Platform, que consiste en software y servicios en la nube que ofrecen la automatización y la eficiencia necesarias para gestionar la compleja infraestructura de inteligencia artificial (IA). Su plataforma CoreWeave Cloud es una solución integrada diseñada específicamente para ejecutar cargas de trabajo de IA, como la formación de modelos y la inferencia. Sus soluciones incluyen servicios de infraestructura, servicios de software gestionados y servicios de software de aplicaciones. Sus servicios de infraestructura proporcionan a sus clientes acceso a la unidad de procesamiento de gráficos avanzados (GPU) y la unidad de procesamiento central (CPU), redes de alto rendimiento y almacenamiento. Sus servicios de software gestionados incluyen CKS, una nube privada virtual flexible y un servicio bare metal que ejecuta kubernetes directamente en servidores de alto rendimiento. Sus Servicios de Software de Aplicación se basan en su infraestructura y servicios de software gestionados, integrando herramientas adicionales.</v>
    <v>2189</v>
    <v>XNAS</v>
    <v>46107.999799698438</v>
    <v>Nasdaq Stock Market</v>
    <v>88.26</v>
    <v>187</v>
    <v>80.16</v>
    <v>33.515000000000001</v>
    <v>USD</v>
    <v>COREWEAVE, INC.</v>
    <v>COREWEAVE, INC.</v>
    <v>0</v>
    <v>80.45</v>
    <v>Software &amp; IT Services</v>
    <v>290 W. Mt. Pleasant Avenue, Suite 4100, LIVINGSTON, NJ, 07039 US</v>
    <v>CRWV</v>
    <v>Acciones</v>
    <v>COREWEAVE, INC. (XNAS:CRWV)</v>
    <v>95110</v>
    <v>24752386</v>
  </rv>
  <rv s="2">
    <v>208</v>
  </rv>
  <rv s="0">
    <v>https://www.bing.com/financeapi/forcetrigger?t=a1x4f2&amp;q=XNAS%3aLRCX&amp;form=skydnc</v>
    <v>Learn more on Bing</v>
  </rv>
  <rv s="1">
    <v>es-ES</v>
    <v>a1x4f2</v>
    <v>268435456</v>
    <v>1</v>
    <v>Con tecnología de Refinitiv</v>
    <v>0</v>
    <v>1</v>
    <v>LAM RESEARCH CORPORATION (XNAS:LRCX)</v>
    <v>3</v>
    <v>4</v>
    <v>Finance</v>
    <v>5</v>
    <v>XNAS</v>
    <v>1248771000</v>
    <v>1989</v>
    <v>225.74</v>
    <v>1.7592000000000001</v>
    <v>-21.83</v>
    <v>-9.351000000000001E-2</v>
    <v>264264919020</v>
    <v>233.45</v>
    <v>Lam Research Corporation es un proveedor global de equipos y servicios de fabricación de obleas para la industria de semiconductores. La empresa diseña, fabrica, comercializa, reacondiciona y presta servicios a equipos de procesamiento de semiconductores utilizados en la fabricación de circuitos integrados. Sus productos y servicios están diseñados para ayudar a sus clientes a construir dispositivos que se utilizan en una variedad de productos electrónicos, incluyendo teléfonos móviles, computadoras personales, servidores, wearables, y otros productos. vehículos automotrices y dispositivos de almacenamiento de datos. Sus familias de productos incluyen ALTUS, SABRE, SPEED, Striker, VECTOR, Flex, Vantex, Kiyo, Versys Metal, Syndion, Coronus, y DV-Prime, Da Vinci, EOS y SP Series. Su base de clientes incluye memoria semiconductora, fundiciones y fabricantes de dispositivos integrados que fabrican productos como memoria no volátil, memoria dinámica de acceso aleatorio y dispositivos lógicos. Ofrece servicios en áreas, tales como habilitación de aplicaciones a nanoescala, química, plasma y fluidos, y otros.</v>
    <v>19000</v>
    <v>XNAS</v>
    <v>46107.999963645314</v>
    <v>Nasdaq Stock Market</v>
    <v>210</v>
    <v>226.88499999999999</v>
    <v>256.68</v>
    <v>211.38</v>
    <v>56.32</v>
    <v>USD</v>
    <v>LAM RESEARCH CORPORATION</v>
    <v>LAM RESEARCH CORPORATION</v>
    <v>43.371299999999998</v>
    <v>211.62</v>
    <v>Semiconductors &amp; Semiconductor Equipment</v>
    <v>4650 Cushing Blvd, FREMONT, CA, 94538 US</v>
    <v>LRCX</v>
    <v>Acciones</v>
    <v>LAM RESEARCH CORPORATION (XNAS:LRCX)</v>
    <v>8553</v>
    <v>10638161</v>
  </rv>
  <rv s="2">
    <v>211</v>
  </rv>
  <rv s="0">
    <v>https://www.bing.com/financeapi/forcetrigger?t=bwtkp2&amp;q=XNAS%3aRKLB&amp;form=skydnc</v>
    <v>Learn more on Bing</v>
  </rv>
  <rv s="1">
    <v>es-ES</v>
    <v>bwtkp2</v>
    <v>268435456</v>
    <v>1</v>
    <v>Con tecnología de Refinitiv</v>
    <v>0</v>
    <v>1</v>
    <v>ROCKET LAB CORPORATION (XNAS:RKLB)</v>
    <v>3</v>
    <v>4</v>
    <v>Finance</v>
    <v>5</v>
    <v>XNAS</v>
    <v>569407700</v>
    <v>2025</v>
    <v>71.2</v>
    <v>2.1583000000000001</v>
    <v>-6.94</v>
    <v>-9.5225000000000004E-2</v>
    <v>37546743738</v>
    <v>72.88</v>
    <v>Rocket Lab Corporation es una compañía espacial de extremo a extremo. La Compañía diseña y fabrica cohetes de clase pequeña y mediana, naves espaciales y componentes de naves espaciales, y programas y servicios conexos para apoyar la economía espacial. La compañía ofrece servicios confiables de lanzamiento, fabricación de satélites, servicios de diseño de naves espaciales, componentes de naves espaciales, fabricación de naves espaciales, y otras soluciones de gestión de naves espaciales y en órbita que facilitan el acceso al espacio. Su segmento de servicios de lanzamiento proporciona servicios relacionados con el lanzamiento y el lanzamiento a los clientes en una misión dedicada o en una base de viaje compartido. Su segmento de Sistemas Espaciales comprende el diseño y la fabricación de componentes de naves espaciales y servicios de gestión de programas de naves espaciales, aplicaciones de datos espaciales y operaciones de misiones. Sus soluciones de sistemas espaciales son los bloques de construcción para naves espaciales, que incluyen estructuras compuestas, ruedas de reacción, seguidores de estrellas, soluciones solares, radios, etc. sistemas de separación y software de naves espaciales de mando y control.</v>
    <v>2600</v>
    <v>XNAS</v>
    <v>46107.999812904687</v>
    <v>Nasdaq Stock Market</v>
    <v>213</v>
    <v>72.0899</v>
    <v>99.58</v>
    <v>65.59</v>
    <v>14.71</v>
    <v>USD</v>
    <v>ROCKET LAB CORPORATION</v>
    <v>ROCKET LAB CORPORATION</v>
    <v>0</v>
    <v>65.94</v>
    <v>Aerospace &amp; Defense</v>
    <v>3881 Mcgowen Street, LONG BEACH, CA, 90808 US</v>
    <v>RKLB</v>
    <v>Acciones</v>
    <v>ROCKET LAB CORPORATION (XNAS:RKLB)</v>
    <v>162687</v>
    <v>20732997</v>
  </rv>
  <rv s="2">
    <v>214</v>
  </rv>
  <rv s="0">
    <v>https://www.bing.com/financeapi/forcetrigger?t=a1molh&amp;q=XNAS%3aAAOI&amp;form=skydnc</v>
    <v>Learn more on Bing</v>
  </rv>
  <rv s="1">
    <v>es-ES</v>
    <v>a1molh</v>
    <v>268435456</v>
    <v>1</v>
    <v>Con tecnología de Refinitiv</v>
    <v>0</v>
    <v>1</v>
    <v>AOI (XNAS:AAOI)</v>
    <v>3</v>
    <v>4</v>
    <v>Finance</v>
    <v>5</v>
    <v>XNAS</v>
    <v>75198820</v>
    <v>2013</v>
    <v>111</v>
    <v>3.0779000000000001</v>
    <v>-16.989999999999998</v>
    <v>-0.14850099999999999</v>
    <v>7325869044</v>
    <v>114.41</v>
    <v>Applied Optoelectronics, Inc. is a vertically integrated provider of fiber-optic networking products. The Company designs and manufactures a range of optical communications products at varying levels of integration, from components, subassemblies, and modules to complete turn-key equipment. The Company also designs, manufactures, and integrates its own analog and digital lasers using the proprietary Molecular Beam Epitaxy (MBE) and Metal Organic Chemical Vapor Deposition (MOCVD) alternative processes for the fabrication of lasers. The Company manufactures lasers and laser components and performs research and development activities for laser component and optical module products. The Company offers its fiber-optic networking products, primarily for four networking end-markets, such as cable television, (CATV), Internet data center, telecommunications, (telecom), and fiber-to-the-home (FTTH). The Company has manufacturing facilities in Taipei, Taiwan and Ningbo, China.</v>
    <v>4691</v>
    <v>XNAS</v>
    <v>46107.999919571092</v>
    <v>Nasdaq Stock Market</v>
    <v>216</v>
    <v>111.66</v>
    <v>128.96</v>
    <v>96.704999999999998</v>
    <v>9.7110000000000003</v>
    <v>USD</v>
    <v>AOI</v>
    <v>AOI</v>
    <v>0</v>
    <v>97.42</v>
    <v>Electronic Equipment &amp; Parts</v>
    <v>13139 Jess Pirtle Blvd, SUGAR LAND, TX, 77478 US</v>
    <v>AAOI</v>
    <v>Acciones</v>
    <v>AOI (XNAS:AAOI)</v>
    <v>116353</v>
    <v>12362315</v>
  </rv>
  <rv s="2">
    <v>217</v>
  </rv>
  <rv s="0">
    <v>https://www.bing.com/financeapi/forcetrigger?t=ah4uww&amp;q=XHKG%3a4336&amp;form=skydnc</v>
    <v>Learn more on Bing</v>
  </rv>
  <rv s="1">
    <v>es-ES</v>
    <v>ah4uww</v>
    <v>268435456</v>
    <v>1</v>
    <v>Con tecnología de Refinitiv</v>
    <v>0</v>
    <v>1</v>
    <v>APPLIED MATERIALS, INC. (XHKG:4336)</v>
    <v>3</v>
    <v>46</v>
    <v>Finance</v>
    <v>10</v>
    <v>XHKG</v>
    <v>793609900</v>
    <v>1987</v>
    <v>1620</v>
    <v>1.6094999999999999</v>
    <v>1020</v>
    <v>1.7</v>
    <v>171688300000</v>
    <v>600</v>
    <v>Applied Materials, Inc. Es una empresa de soluciones de ingeniería de materiales. La Compañía proporciona equipos, servicios y software a las industrias de semiconductores, pantallas y afines. Opera en tres segmentos: Sistemas de semiconductores, Servicios globales aplicados (AGS) y Display. El segmento de sistemas semiconductores diseña, desarrolla, fabrica y vende una gama de equipos principalmente de 300 mm utilizados para fabricar chips semiconductores, también conocidos como circuitos integrados (ICs). El segmento AGS proporciona servicios, repuestos y software de automatización de fábricas a las plantas de fabricación de clientes en todo el mundo. El segmento AGS también fabrica y vende 200mm y otros equipos. El segmento de la pantalla se compone principalmente de productos para la fabricación de pantallas de cristal líquido (LCD), diodos emisores de luz orgánicos (OLED) y otras tecnologías de visualización para televisores, monitores, ordenadores portátiles, computadoras personales (PC), tabletas, etc. smartphones y otros dispositivos orientados al consumidor.</v>
    <v>35500</v>
    <v>XHKG</v>
    <v>45426.163729582811</v>
    <v>Hong Kong Stock Exchange</v>
    <v>219</v>
    <v>1620</v>
    <v>1620</v>
    <v>1620</v>
    <v>1620</v>
    <v>HKD</v>
    <v>APPLIED MATERIALS, INC.</v>
    <v>APPLIED MATERIALS, INC.</v>
    <v>0</v>
    <v>1620</v>
    <v>Semiconductors &amp; Semiconductor Equipment</v>
    <v>3050 Bowers Avenue, P.O. Box 58039, SANTA CLARA, CA, 95054-3299 US</v>
    <v>4336</v>
    <v>Acciones</v>
    <v>APPLIED MATERIALS, INC. (XHKG:4336)</v>
    <v>10</v>
    <v>7102110</v>
  </rv>
  <rv s="2">
    <v>220</v>
  </rv>
  <rv s="0">
    <v>https://www.bing.com/financeapi/forcetrigger?t=ae8gm7&amp;q=XPAR%3aEL&amp;form=skydnc</v>
    <v>Learn more on Bing</v>
  </rv>
  <rv s="1">
    <v>es-ES</v>
    <v>ae8gm7</v>
    <v>268435456</v>
    <v>1</v>
    <v>Con tecnología de Refinitiv</v>
    <v>0</v>
    <v>1</v>
    <v>Essilorluxottica SA (XPAR:EL)</v>
    <v>3</v>
    <v>39</v>
    <v>Finance</v>
    <v>10</v>
    <v>XPAR</v>
    <v>463289600</v>
    <v>1993</v>
    <v>196.15</v>
    <v>0.94199999999999995</v>
    <v>0.25</v>
    <v>1.2870000000000002E-3</v>
    <v>128794500000</v>
    <v>194.3</v>
    <v>EssilorLuxottica SA es una empresa oftalmológica con sede en Francia. La compañía diseña, distribuye, fabrica y comercializa una gama de lentes, monturas y gafas de sol para mejorar y proteger la vista. También desarrolla y comercializa equipos para laboratorios e instrumentos de prescripción, y servicios para profesionales de la vista. Opera a través de tres segmentos: Lentes e Instrumentos Ópticos, que incluyen lentes correctoras, instrumentos ópticos destinados a ópticos y optometristas; Equipo, que incluye máquinas y consumibles utilizados por plantas y laboratorios de prescripción, y Gafas de sol y lectores, que comprende gafas de lectura sin prescripción y gafas de sol sin prescripción. Los activos de EssilorLuxottica incluyen marcas reconocidas, como Ray-Ban y Oakley para gafas, Varilux y transiciones para tecnologías ópticas oftálmicas, y Sunglass Hut y LensCrafters para redes de distribución internacionales.</v>
    <v>203791</v>
    <v>XPAR</v>
    <v>46108.415763888886</v>
    <v>Euronext Paris</v>
    <v>222</v>
    <v>196.15</v>
    <v>323.8</v>
    <v>193.45</v>
    <v>190.7</v>
    <v>EUR</v>
    <v>Essilorluxottica SA</v>
    <v>Essilorluxottica SA</v>
    <v>38.527799999999999</v>
    <v>194.55</v>
    <v>Healthcare Equipment &amp; Supplies</v>
    <v>1-6 rue Paul Cezanne, PARIS, ILE-DE-FRANCE, 75008 FR</v>
    <v>EL</v>
    <v>Acciones</v>
    <v>Essilorluxottica SA (XPAR:EL)</v>
    <v>71201</v>
    <v>744120</v>
  </rv>
  <rv s="2">
    <v>223</v>
  </rv>
  <rv s="0">
    <v>https://www.bing.com/financeapi/forcetrigger?t=a1vmf2&amp;q=XNAS%3aINTC&amp;form=skydnc</v>
    <v>Learn more on Bing</v>
  </rv>
  <rv s="1">
    <v>es-ES</v>
    <v>a1vmf2</v>
    <v>268435456</v>
    <v>1</v>
    <v>Con tecnología de Refinitiv</v>
    <v>0</v>
    <v>1</v>
    <v>INTEL CORPORATION (XNAS:INTC)</v>
    <v>3</v>
    <v>4</v>
    <v>Finance</v>
    <v>5</v>
    <v>XNAS</v>
    <v>5021010000</v>
    <v>1989</v>
    <v>46.295000000000002</v>
    <v>1.3284</v>
    <v>-3.08</v>
    <v>-6.5282000000000007E-2</v>
    <v>221426541000</v>
    <v>47.18</v>
    <v>Intel Corporation es un diseñador y fabricante global de productos de semiconductores. La compañía opera a través de tres segmentos: Productos Intel, Intel Foundry y todos los demás. Su segmento de productos Intel incluye el grupo de computación del cliente (CCG), el centro de datos y la inteligencia artificial (DCAI), la red y el borde (NEX). El CCG reúne el sistema operativo, la arquitectura del sistema, el hardware y la integración de aplicaciones de software para permitir experiencias de PC. DCAI ofrece soluciones optimizadas para cargas de trabajo a proveedores de servicios en la nube y empresas, junto con dispositivos de silicio para proveedores de servicios de comunicaciones, redes y perimetrales, y clientes de HPC. NEX ayuda a las redes y a los sistemas de cómputo perimetral desde hardware de función fija hasta dispositivos de cómputo, aceleración y redes de propósito general que ejecutan software nativo en la nube en hardware programable. El segmento Intel Foundry comprende el desarrollo de tecnología, la fabricación y los servicios de fundición. Todos los demás segmentos incluyen Altera, Mobileye, Otro.</v>
    <v>85100</v>
    <v>XNAS</v>
    <v>46107.999975508596</v>
    <v>Nasdaq Stock Market</v>
    <v>225</v>
    <v>46.6</v>
    <v>54.6</v>
    <v>43.914999999999999</v>
    <v>17.664999999999999</v>
    <v>USD</v>
    <v>INTEL CORPORATION</v>
    <v>INTEL CORPORATION</v>
    <v>0</v>
    <v>44.1</v>
    <v>Semiconductors &amp; Semiconductor Equipment</v>
    <v>2200 Mission College Blvd, Rnb-4-151, SANTA CLARA, CA, 95054 US</v>
    <v>INTC</v>
    <v>Acciones</v>
    <v>INTEL CORPORATION (XNAS:INTC)</v>
    <v>181210</v>
    <v>83841114</v>
  </rv>
  <rv s="2">
    <v>226</v>
  </rv>
  <rv s="8">
    <v>es-ES</v>
    <v>ccqpyc</v>
    <v>268435456</v>
    <v>1</v>
    <v>Con tecnología de Refinitiv</v>
    <v>21</v>
    <v>22</v>
    <v>ASTERA LABS, INC (XNAS:ALAB)</v>
    <v>23</v>
    <v>4</v>
    <v>Finance</v>
    <v>5</v>
    <v>XNAS</v>
    <v>170214500</v>
    <v>2017</v>
    <v>117.17</v>
    <v>2.5099999999999998</v>
    <v>-6.7249999999999996</v>
    <v>-5.5888E-2</v>
    <v>19337218272</v>
    <v>120.33</v>
    <v>Astera Labs, Inc. Es una compañía global de semiconductores. La compañía proporciona soluciones de conectividad basadas en semiconductores para la nube y la infraestructura de inteligencia artificial (IA). Ha desarrollado e implementado su plataforma de conectividad inteligente construida desde cero para la infraestructura de nube e IA. Su plataforma de conectividad inteligente ofrece a sus clientes la capacidad de implementar y operar infraestructura de inteligencia artificial y nube de alto rendimiento a escala, abordando un conjunto cada vez más diverso de requisitos. Proporciona sus productos de conectividad en varios factores de forma, incluyendo circuitos integrados (ICs), placas y módulos. Sus soluciones de conectividad basadas en semiconductores PCIe, CXL y Ethernet están diseñadas específicamente para liberar el potencial de la computación acelerada a escala de nube. Los productos de la Compañía incluyen los productos Aries, que incluyen su suite de software COSMOS; los productos Taurus, que son módulos de hardware basados en sus ICs Taurus; los productos Leo; y los productos Scorpio.</v>
    <v>756</v>
    <v>XNAS</v>
    <v>46107.999986885938</v>
    <v>Nasdaq Stock Market</v>
    <v>119.84</v>
    <v>262.89999999999998</v>
    <v>113.57</v>
    <v>47.125</v>
    <v>USD</v>
    <v>ASTERA LABS, INC</v>
    <v>ASTERA LABS, INC</v>
    <v>93.215900000000005</v>
    <v>113.605</v>
    <v>Semiconductors &amp; Semiconductor Equipment</v>
    <v>2345 North First Street, SAN JOSE, CA, 95131 US</v>
    <v>ALAB</v>
    <v>Acciones</v>
    <v>ASTERA LABS, INC (XNAS:ALAB)</v>
    <v>2748</v>
    <v>4521421</v>
  </rv>
  <rv s="2">
    <v>228</v>
  </rv>
  <rv s="8">
    <v>es-ES</v>
    <v>cau7bh</v>
    <v>268435456</v>
    <v>1</v>
    <v>Con tecnología de Refinitiv</v>
    <v>21</v>
    <v>22</v>
    <v>ARM HOLDINGS PLC (XNAS:ARM)</v>
    <v>23</v>
    <v>4</v>
    <v>Finance</v>
    <v>5</v>
    <v>XNAS</v>
    <v>1062000000</v>
    <v>2018</v>
    <v>157.35</v>
    <v>1.569</v>
    <v>-2.27</v>
    <v>-1.4452E-2</v>
    <v>164397600000</v>
    <v>157.07</v>
    <v>ARM Holdings plc se dedica a operar una plataforma de computación global. IT diseña, desarrolla y otorga licencias de plataformas de computación Arm de alto rendimiento y eficiencia energética. Las operaciones y actividades principales de la Compañía son la concesión de licencias, comercialización, investigación y desarrollo de la propiedad intelectual (IP) del diseño de la unidad central de procesamiento (CPU), procesadores gráficos, IP del sistema, IP de la plataforma optimizada para el mercado y software asociado, herramientas y otros servicios relacionados. Sus productos complementarios incluyen aceleradores de GPU y NPU, interconexión y otros. Sus principales ofertas de productos son productos de CPU que abordan diversos requisitos de rendimiento, potencia y costos. Ofrece una familia de productos de GPU y NPU que proporcionan una aceleración informática eficiente y una experiencia visual óptima en una amplia gama de dispositivos. Sus productos de CPU, GPU y System IP integrados en una plataforma de cómputo fundacional optimizada para un mercado final específico.</v>
    <v>8330</v>
    <v>XNAS</v>
    <v>46107.999969664059</v>
    <v>Nasdaq Stock Market</v>
    <v>163.53</v>
    <v>183.16</v>
    <v>154.35</v>
    <v>80</v>
    <v>USD</v>
    <v>ARM HOLDINGS PLC</v>
    <v>ARM HOLDINGS PLC</v>
    <v>206.31200000000001</v>
    <v>154.80000000000001</v>
    <v>Semiconductors &amp; Semiconductor Equipment</v>
    <v>110 Fulbourn Road, CAMBRIDGE, CAMBRIDGESHIRE, CB1 9NJ GB</v>
    <v>ARM</v>
    <v>Acciones</v>
    <v>ARM HOLDINGS PLC (XNAS:ARM)</v>
    <v>63850</v>
    <v>5653761</v>
  </rv>
  <rv s="2">
    <v>230</v>
  </rv>
  <rv s="0">
    <v>https://www.bing.com/financeapi/forcetrigger?t=a1xh8m&amp;q=XNAS%3aMELI&amp;form=skydnc</v>
    <v>Learn more on Bing</v>
  </rv>
  <rv s="1">
    <v>es-ES</v>
    <v>a1xh8m</v>
    <v>268435456</v>
    <v>1</v>
    <v>Con tecnología de Refinitiv</v>
    <v>0</v>
    <v>1</v>
    <v>MercadoLibre Inc (XNAS:MELI)</v>
    <v>3</v>
    <v>4</v>
    <v>Finance</v>
    <v>5</v>
    <v>XNAS</v>
    <v>50697180</v>
    <v>1999</v>
    <v>1624.77</v>
    <v>1.5266</v>
    <v>-8.48</v>
    <v>-5.1719999999999995E-3</v>
    <v>82686593608</v>
    <v>1639.47</v>
    <v>MercadoLibre Inc es un facilitador de negocios de comercio electrónico con sede en Uruguay de origen argentino. Los productos de comercio electrónico permiten la venta al por menor y al por mayor a través de plataformas de Internet diseñadas para proporcionar a los usuarios una cartera de servicios para facilitar las transacciones comerciales. La cobertura geográfica de la Compañía incluye 18 países de América Latina. La oferta principal es un ecosistema de seis servicios integrados de comercio electrónico: Mercado Libre Marketplace, Mercado Libre Classifieds, Mercado Pago Payments Solutions, Mercado Credito Solutions, Mercado Envios Solutions Logistic Solutions incluyendo el envío, la plataforma de publicidad Mercado Ads y la solución digital de tienda de Mercado Shops.</v>
    <v>123670</v>
    <v>XNAS</v>
    <v>46107.999943483592</v>
    <v>Nasdaq Stock Market</v>
    <v>232</v>
    <v>1668.59</v>
    <v>2645.22</v>
    <v>1620</v>
    <v>1606.21</v>
    <v>USD</v>
    <v>MercadoLibre Inc</v>
    <v>MercadoLibre Inc</v>
    <v>41.401600000000002</v>
    <v>1630.99</v>
    <v>Software &amp; IT Services</v>
    <v>WTC Free Zone, Dr. Luis Bonavita 1294, Of. 1733, Tower II, MONTEVIDEO, 11300 UY</v>
    <v>MELI</v>
    <v>Acciones</v>
    <v>MercadoLibre Inc (XNAS:MELI)</v>
    <v>85</v>
    <v>665827</v>
  </rv>
  <rv s="2">
    <v>233</v>
  </rv>
  <rv s="0">
    <v>https://www.bing.com/financeapi/forcetrigger?t=c2mtww&amp;q=XNAS%3aHOOD&amp;form=skydnc</v>
    <v>Learn more on Bing</v>
  </rv>
  <rv s="1">
    <v>es-ES</v>
    <v>c2mtww</v>
    <v>268435456</v>
    <v>1</v>
    <v>Con tecnología de Refinitiv</v>
    <v>0</v>
    <v>1</v>
    <v>ROBINHOOD MARKETS, INC. (XNAS:HOOD)</v>
    <v>3</v>
    <v>4</v>
    <v>Finance</v>
    <v>5</v>
    <v>XNAS</v>
    <v>900308400</v>
    <v>2013</v>
    <v>71.150000000000006</v>
    <v>2.4563999999999999</v>
    <v>-2.19</v>
    <v>-3.0190000000000002E-2</v>
    <v>63336695939</v>
    <v>72.540000000000006</v>
    <v>Robinhood Markets, Inc. Está creando una plataforma de servicios financieros para todos, independientemente de su riqueza, ingresos o antecedentes. Utiliza la tecnología para proporcionar acceso al sistema financiero. Sus ofertas incluyen Brokerage, Robinhood Crypto, Custodia, Robinhood Wallet, Robinhood Gold, y Robinhood tarjeta de oro. Sus servicios de Brokerage incluyen inversión, comercio de opciones, negociación fraccionaria, inversión recurrente, acceso a la inversión en margen, préstamos de valores totalmente pagados, barrido de efectivo, retiros instantáneos, retiro de Robinhood, mercado de 24 horas, cuentas conjuntas de inversión y contratos de eventos. También ofrece una variedad de maneras para que sus clientes aumenten su conocimiento financiero, incluyendo Robinhood Learn, In-App Education, Newsfeeds, Sherwood Snacks, y otros. y Crypto aprende y gana. Su sistema de autocompensación, sistema de enrutamiento de pedidos, plataforma de datos y otra infraestructura de back-end ofrecen las capacidades que permiten a sus clientes centrarse en la inversión, el ahorro y el gasto.</v>
    <v>2900</v>
    <v>XNAS</v>
    <v>46107.99977407344</v>
    <v>Nasdaq Stock Market</v>
    <v>235</v>
    <v>73.239999999999995</v>
    <v>153.85990000000001</v>
    <v>69.7</v>
    <v>29.66</v>
    <v>USD</v>
    <v>ROBINHOOD MARKETS, INC.</v>
    <v>ROBINHOOD MARKETS, INC.</v>
    <v>39.354399999999998</v>
    <v>70.349999999999994</v>
    <v>Financial Technology (Fintech) &amp; Infrastructure</v>
    <v>85 Willow Road, MENLO PARK, CA, 94025 US</v>
    <v>HOOD</v>
    <v>Acciones</v>
    <v>ROBINHOOD MARKETS, INC. (XNAS:HOOD)</v>
    <v>90012</v>
    <v>26998094</v>
  </rv>
  <rv s="2">
    <v>236</v>
  </rv>
  <rv s="0">
    <v>https://www.bing.com/financeapi/forcetrigger?t=a1pejc&amp;q=XNAS%3aCDNS&amp;form=skydnc</v>
    <v>Learn more on Bing</v>
  </rv>
  <rv s="1">
    <v>es-ES</v>
    <v>a1pejc</v>
    <v>268435456</v>
    <v>1</v>
    <v>Con tecnología de Refinitiv</v>
    <v>0</v>
    <v>1</v>
    <v>CADENCE DESIGN SYSTEMS, INC. (XNAS:CDNS)</v>
    <v>3</v>
    <v>4</v>
    <v>Finance</v>
    <v>6</v>
    <v>XNAS</v>
    <v>275875500</v>
    <v>1987</v>
    <v>278</v>
    <v>1.0378000000000001</v>
    <v>-0.77</v>
    <v>-2.7360000000000002E-3</v>
    <v>77416182810</v>
    <v>281.39</v>
    <v>Cadence Design Systems, Inc. Es una empresa de diseño de sistemas electrónicos. La Compañía aplica su estrategia de diseño de sistemas inteligentes para ofrecer software, hardware y propiedad intelectual (IP) que convierten los conceptos de diseño en realidad. Sus categorías de productos incluyen la automatización del diseño electrónico básico (EDA), el IP de semiconductores y el diseño y análisis de sistemas (SD&amp;A). Core EDA incluye software, hardware y servicios utilizados para diseñar y verificar una amplia variedad de semiconductores. El portafolio IP de semiconductores incluye subsistemas de silicio, software y servicios que se utilizan en el diseño de semiconductores. La categoría de SD&amp;A incluye los programas informáticos y los servicios utilizados para diseñar y verificar una amplia variedad de sistemas electrónicos físicos. Sus semiconductores se utilizan en diversas industrias, incluyendo automoción, aeroespacial, biotecnología, computación en hiperescala y en nube, centros de datos, telecomunicaciones, tecnología médica, Internet de las cosas industrial (IIoT) e inteligencia artificial (IA).</v>
    <v>13800</v>
    <v>XNAS</v>
    <v>46107.99989829844</v>
    <v>Nasdaq Stock Market</v>
    <v>238</v>
    <v>284.16000000000003</v>
    <v>376.44499999999999</v>
    <v>278</v>
    <v>221.56010000000001</v>
    <v>USD</v>
    <v>CADENCE DESIGN SYSTEMS, INC.</v>
    <v>CADENCE DESIGN SYSTEMS, INC.</v>
    <v>69.168099999999995</v>
    <v>280.62</v>
    <v>Software &amp; IT Services</v>
    <v>2655 Seely Avenue Bldg 5, SAN JOSE, CA, 95134 US</v>
    <v>CDNS</v>
    <v>Acciones</v>
    <v>CADENCE DESIGN SYSTEMS, INC. (XNAS:CDNS)</v>
    <v>430</v>
    <v>2589727</v>
  </rv>
  <rv s="2">
    <v>239</v>
  </rv>
  <rv s="0">
    <v>https://www.bing.com/financeapi/forcetrigger?t=a1svnm&amp;q=XNYS%3aFICO&amp;form=skydnc</v>
    <v>Learn more on Bing</v>
  </rv>
  <rv s="1">
    <v>es-ES</v>
    <v>a1svnm</v>
    <v>268435456</v>
    <v>1</v>
    <v>Con tecnología de Refinitiv</v>
    <v>0</v>
    <v>1</v>
    <v>FAIR ISAAC CORPORATION (XNYS:FICO)</v>
    <v>3</v>
    <v>4</v>
    <v>Finance</v>
    <v>6</v>
    <v>XNYS</v>
    <v>23722130</v>
    <v>1987</v>
    <v>1035.8499999999999</v>
    <v>1.3748</v>
    <v>-3.26</v>
    <v>-3.1250000000000002E-3</v>
    <v>24667219659</v>
    <v>1043.0999999999999</v>
    <v>Fair Isaac Corporation es una empresa de software de análisis aplicado. La compañía se centra en el uso de análisis predictivos y ciencia de datos para mejorar las decisiones operativas. La Compañía opera a través de dos segmentos: Puntajes y Software. El segmento de puntajes incluye las soluciones y servicios de puntaje de negocios a negocios de la Compañía que dan a sus clientes acceso a crédito predictivo y otros puntajes. Este segmento incluye sus soluciones de puntuación entre empresas y consumidores, incluidas sus ofertas de suscripción de myFICO.com. El segmento de software de la compañía incluye soluciones de análisis y gestión de decisiones preconfiguradas diseñadas para un tipo específico de necesidad o proceso de negocio, como originación de cuentas, gestión de clientes, participación de clientes, detección de fraude y marketing, así como servicios profesionales asociados. Este segmento incluye FICO Platform, una oferta de software modular diseñada para soportar casos de uso analítico y de decisión avanzados, así como software analítico y de toma de decisiones independiente.</v>
    <v>3762</v>
    <v>XNYS</v>
    <v>46107.989166909378</v>
    <v>New York Stock Exchange</v>
    <v>241</v>
    <v>1072.29</v>
    <v>2217.6</v>
    <v>1029.3900000000001</v>
    <v>969.32</v>
    <v>USD</v>
    <v>FAIR ISAAC CORPORATION</v>
    <v>FAIR ISAAC CORPORATION</v>
    <v>38.494700000000002</v>
    <v>1039.8399999999999</v>
    <v>Software &amp; IT Services</v>
    <v>5 West Mendenhall, Suites 105, BOZEMAN, MT, 59715 US</v>
    <v>FICO</v>
    <v>Acciones</v>
    <v>FAIR ISAAC CORPORATION (XNYS:FICO)</v>
    <v>5</v>
    <v>380623</v>
  </rv>
  <rv s="2">
    <v>242</v>
  </rv>
  <rv s="0">
    <v>https://www.bing.com/financeapi/forcetrigger?t=b1ao52&amp;q=XAMS%3aADYEN&amp;form=skydnc</v>
    <v>Learn more on Bing</v>
  </rv>
  <rv s="1">
    <v>es-ES</v>
    <v>b1ao52</v>
    <v>268435456</v>
    <v>1</v>
    <v>Con tecnología de Refinitiv</v>
    <v>0</v>
    <v>1</v>
    <v>Adyen NV (XAMS:ADYEN)</v>
    <v>3</v>
    <v>39</v>
    <v>Finance</v>
    <v>10</v>
    <v>XAMS</v>
    <v>31536690</v>
    <v>2006</v>
    <v>886</v>
    <v>2.4056000000000002</v>
    <v>-1.6</v>
    <v>-1.823E-3</v>
    <v>44081990000</v>
    <v>877.8</v>
    <v>Adyen NV, antes Adyen BV, es un proveedor de soluciones de pago por móvil, en línea y en punto de venta (TPV) con sede en los Países Bajos. Opera una plataforma online que permite a los comerciantes aceptar pagos a nivel internacional y desde todos los canales de venta, como tiendas online, pagos móviles desde aplicaciones y sitios web, y puntos de venta, como mostradores, terminales móviles, tabletas y cajas registradoras, entre otros. La plataforma cubre toda la cadena de pagos, incluidos los procesos técnicos, contractuales, de conciliación y de liquidación. La plataforma está disponible en forma de páginas de pago listas para usar (HPP), interfaz de programación de aplicaciones (API) y solución de cifrado del lado del cliente (EE). Entre los clientes de la Empresa se encuentran Mango, KLM, Netflix, Superdry, Uber, Groupon y Crocs, entre otros. Tiene oficinas en los Países Bajos, el Reino Unido, Francia, Alemania, Bélgica, Brasil, China, Australia, México, Singapur, España, Suecia y Estados Unidos.</v>
    <v>4771</v>
    <v>XAMS</v>
    <v>46108.415917650003</v>
    <v>Euronext Amsterdam</v>
    <v>244</v>
    <v>889.1</v>
    <v>1750.4</v>
    <v>870.5</v>
    <v>843.2</v>
    <v>EUR</v>
    <v>Adyen NV</v>
    <v>Adyen NV</v>
    <v>27.591999999999999</v>
    <v>876.2</v>
    <v>Financial Technology (Fintech) &amp; Infrastructure</v>
    <v>Simon Carmiggeltstraat 6-50, AMSTERDAM, NOORD-HOLLAND, 1011DJ NL</v>
    <v>ADYEN</v>
    <v>Acciones</v>
    <v>Adyen NV (XAMS:ADYEN)</v>
    <v>19575</v>
    <v>157380</v>
  </rv>
  <rv s="2">
    <v>245</v>
  </rv>
  <rv s="0">
    <v>https://www.bing.com/financeapi/forcetrigger?t=a1xz1h&amp;q=XNYS%3aMSCI&amp;form=skydnc</v>
    <v>Learn more on Bing</v>
  </rv>
  <rv s="1">
    <v>es-ES</v>
    <v>a1xz1h</v>
    <v>268435456</v>
    <v>1</v>
    <v>Con tecnología de Refinitiv</v>
    <v>0</v>
    <v>1</v>
    <v>MSCI INC. (XNYS:MSCI)</v>
    <v>3</v>
    <v>4</v>
    <v>Finance</v>
    <v>6</v>
    <v>XNYS</v>
    <v>73120210</v>
    <v>1998</v>
    <v>528.16</v>
    <v>1.3064</v>
    <v>3.69</v>
    <v>6.9489999999999994E-3</v>
    <v>39095913882</v>
    <v>530.99</v>
    <v>MSCI Inc. (MSCI) es un proveedor de herramientas y soluciones críticas de apoyo a la toma de decisiones para la comunidad de inversión global. La Compañía opera a través de cuatro segmentos: Index, Analytics, ESG y Clima, y todos los demás activos privados. El segmento Index ofrece productos como MSCI Global Equity Index, ESG e Índices Climáticos, Índices de Factores, Índices Temáticos, Índices Diseñados por Clientes, Índices de Renta Fija e Índices de Activos Reales. El segmento Analytics ofrece gestión de riesgos, atribución de rendimiento y gestión de carteras de contenidos, aplicaciones y servicios. Sus ofertas de segmentos ESG y Clima incluyen MSCI ESG Ratings, MSCI ESG Business Participation Screening Research y MSCI Climate Solutions. El segmento Todos los demás activos privados de la compañía comprende el segmento de activos reales y el segmento de soluciones de capital privado. El segmento de activos reales ofrece datos, puntos de referencia, análisis de retorno, evaluaciones climáticas e información de mercado para activos tangibles como bienes raíces e infraestructura.</v>
    <v>6268</v>
    <v>XNYS</v>
    <v>46107.989170057815</v>
    <v>New York Stock Exchange</v>
    <v>247</v>
    <v>538.96</v>
    <v>626.28</v>
    <v>528</v>
    <v>486.73500000000001</v>
    <v>USD</v>
    <v>MSCI INC.</v>
    <v>MSCI INC.</v>
    <v>34.081000000000003</v>
    <v>534.67999999999995</v>
    <v>Professional &amp; Commercial Services</v>
    <v>7 World Trade Center, 250 Greenwich Street, 49th Floor, NEW YORK, NY, 10007 US</v>
    <v>MSCI</v>
    <v>Acciones</v>
    <v>MSCI INC. (XNYS:MSCI)</v>
    <v>1</v>
    <v>609147</v>
  </rv>
  <rv s="2">
    <v>248</v>
  </rv>
  <rv s="0">
    <v>https://www.bing.com/financeapi/forcetrigger?t=c1sd3m&amp;q=XNAS%3aAPP&amp;form=skydnc</v>
    <v>Learn more on Bing</v>
  </rv>
  <rv s="1">
    <v>es-ES</v>
    <v>c1sd3m</v>
    <v>268435456</v>
    <v>1</v>
    <v>Con tecnología de Refinitiv</v>
    <v>0</v>
    <v>1</v>
    <v>APPLOVIN CORPORATION (XNAS:APP)</v>
    <v>3</v>
    <v>4</v>
    <v>Finance</v>
    <v>5</v>
    <v>XNAS</v>
    <v>337278000</v>
    <v>2011</v>
    <v>412.34500000000003</v>
    <v>2.4721000000000002</v>
    <v>-45.48</v>
    <v>-0.104147</v>
    <v>131946526380</v>
    <v>436.69</v>
    <v>AppLovin Corporation es una plataforma de marketing. La Compañía proporciona soluciones integrales de software e inteligencia artificial (IA) para que las empresas alcancen, monetizen y hagan crecer sus audiencias globales. Sus soluciones de publicidad incluyen un conjunto completo de herramientas que incluyen AppDiscovery, MAX, Adjust, Wurl y Axon Ads Manager. AppDiscovery está impulsado por AXON, su motor de publicidad impulsado por IA, y coincide con la demanda de los anunciantes con la oferta de los editores a través de subastas a gran escala y a velocidades de microsegundos. MAX es su solución de monetización, que utiliza una avanzada tecnología de pujas in-app que optimiza el valor del inventario publicitario de un editor mediante la realización de una subasta competitiva en tiempo real, impulsando más competencia y mayores rendimientos para los editores. Adjust es su plataforma de marketing de medición y análisis que proporciona a los profesionales de marketing la visibilidad, los conocimientos y los datos necesarios para escalar el marketing de sus aplicaciones e impulsar resultados más informados. Wurl es su plataforma de TV Conectada (CTV).</v>
    <v>898</v>
    <v>XNAS</v>
    <v>46107.999916342189</v>
    <v>Nasdaq Stock Market</v>
    <v>250</v>
    <v>413.34</v>
    <v>745.61</v>
    <v>388.6</v>
    <v>200.5</v>
    <v>USD</v>
    <v>APPLOVIN CORPORATION</v>
    <v>APPLOVIN CORPORATION</v>
    <v>40.669400000000003</v>
    <v>391.21</v>
    <v>Software &amp; IT Services</v>
    <v>1100 Page Mill Rd, PALO ALTO, CA, 94304-1047 US</v>
    <v>APP</v>
    <v>Acciones</v>
    <v>APPLOVIN CORPORATION (XNAS:APP)</v>
    <v>15845</v>
    <v>5356175</v>
  </rv>
  <rv s="2">
    <v>251</v>
  </rv>
  <rv s="0">
    <v>https://www.bing.com/financeapi/forcetrigger?t=a23rjc&amp;q=XNAS%3aSTX&amp;form=skydnc</v>
    <v>Learn more on Bing</v>
  </rv>
  <rv s="1">
    <v>es-ES</v>
    <v>a23rjc</v>
    <v>268435456</v>
    <v>1</v>
    <v>Con tecnología de Refinitiv</v>
    <v>0</v>
    <v>1</v>
    <v>SEAGATE TECHNOLOGY HOLDINGS PUBLIC LIMITED COMPANY (XNAS:STX)</v>
    <v>3</v>
    <v>4</v>
    <v>Finance</v>
    <v>5</v>
    <v>XNAS</v>
    <v>224025400</v>
    <v>2021</v>
    <v>401.66</v>
    <v>1.6196999999999999</v>
    <v>-34.43</v>
    <v>-8.3321000000000006E-2</v>
    <v>84858581266</v>
    <v>413.22</v>
    <v>Seagate Technology Holdings plc ofrece una solución de infraestructura de almacenamiento de datos masivos. Los principales productos de la compañía son las unidades de disco duro, comúnmente conocidas como unidades de disco, discos duros (HDD). Además de los HDD, la compañía produce una gama de productos de almacenamiento de datos, incluyendo unidades de estado sólido (SSD), unidades híbridas de estado sólido, subsistemas de almacenamiento, así como una plataforma de datos masivos escalable de borde a nube. Sus productos de HDD están diseñados para el almacenamiento masivo de capacidad y los mercados heredados. El almacenamiento de capacidad masiva implica casos de uso, como centros de datos a hiperescala y nubes públicas, así como casos de uso emergentes. La cartera de productos HDD y SSD de la compañía incluye adjuntos de tecnología avanzada en serie, SCSI conectado en serie y diseños basados en memoria no volátil Express para soportar una variedad de aplicaciones heredadas y de capacidad masiva. Su cartera de sistemas incluye subsistemas de almacenamiento para empresas, proveedores de servicios en la nube, servidores de almacenamiento escalables y fabricantes de equipos originales.</v>
    <v>30000</v>
    <v>XNAS</v>
    <v>46107.999393830469</v>
    <v>Nasdaq Stock Market</v>
    <v>253</v>
    <v>406.65</v>
    <v>459.84</v>
    <v>377.33</v>
    <v>63.19</v>
    <v>USD</v>
    <v>SEAGATE TECHNOLOGY HOLDINGS PUBLIC LIMITED COMPANY</v>
    <v>SEAGATE TECHNOLOGY HOLDINGS PUBLIC LIMITED COMPANY</v>
    <v>42.853200000000001</v>
    <v>378.79</v>
    <v>Computers, Phones &amp; Household Electronics</v>
    <v>121 Woodlands Avenue 5, 739009 SG</v>
    <v>STX</v>
    <v>Acciones</v>
    <v>SEAGATE TECHNOLOGY HOLDINGS PUBLIC LIMITED COMPANY (XNAS:STX)</v>
    <v>2021</v>
    <v>3569479</v>
  </rv>
  <rv s="2">
    <v>254</v>
  </rv>
  <rv s="0">
    <v>https://www.bing.com/financeapi/forcetrigger?t=bq8rqh&amp;q=XNAS%3aCRWD&amp;form=skydnc</v>
    <v>Learn more on Bing</v>
  </rv>
  <rv s="1">
    <v>es-ES</v>
    <v>bq8rqh</v>
    <v>268435456</v>
    <v>1</v>
    <v>Con tecnología de Refinitiv</v>
    <v>0</v>
    <v>1</v>
    <v>CROWDSTRIKE HOLDINGS, INC. (XNAS:CRWD)</v>
    <v>3</v>
    <v>4</v>
    <v>Finance</v>
    <v>5</v>
    <v>XNAS</v>
    <v>253614100</v>
    <v>2011</v>
    <v>383.17</v>
    <v>1.0901000000000001</v>
    <v>6.76</v>
    <v>1.7519E-2</v>
    <v>99573967942</v>
    <v>385.86</v>
    <v>CrowdStrike Holdings, Inc. Es una compañía global de ciberseguridad que proporciona protección en la nube para endpoints, cargas de trabajo en la nube, identidad y datos. Su plataforma Falcon está diseñada para la consolidación de la ciberseguridad, diseñada específicamente para detener las brechas. Las plataformas recopilan e integran datos de toda la empresa, incluidos puntos finales, cargas de trabajo en la nube, identidades y fuentes de terceros. Ofrece 29 módulos en la nube en su plataforma Falcon a través de un modelo basado en suscripción de software como servicio (SaaS) que abarca múltiples mercados grandes, incluyendo seguridad de endpoints corporativos y cargas de trabajo en la nube, servicios de seguridad gestionada, gestión de operaciones de tecnología de la información (TI), protección de identidades, gestión de información de seguridad de próxima generación y gestión de eventos (SIEM) y gestión de registros, servicios de inteligencia contra amenazas, protección de datos, gestión de posturas de seguridad SaaS, automatización y respuesta (SOAR) y automatización de flujo de trabajo impulsada por inteligencia artificial, entre otros.</v>
    <v>10698</v>
    <v>XNAS</v>
    <v>46107.999692626559</v>
    <v>Nasdaq Stock Market</v>
    <v>256</v>
    <v>395.5</v>
    <v>566.9</v>
    <v>381.19</v>
    <v>298</v>
    <v>USD</v>
    <v>CROWDSTRIKE HOLDINGS, INC.</v>
    <v>CROWDSTRIKE HOLDINGS, INC.</v>
    <v>0</v>
    <v>392.62</v>
    <v>Software &amp; IT Services</v>
    <v>206 E. 9TH STREET, SUITE 1400, AUSTIN, TX, 78701 US</v>
    <v>CRWD</v>
    <v>Acciones</v>
    <v>CROWDSTRIKE HOLDINGS, INC. (XNAS:CRWD)</v>
    <v>6834</v>
    <v>5035825</v>
  </rv>
  <rv s="2">
    <v>257</v>
  </rv>
  <rv s="0">
    <v>https://www.bing.com/financeapi/forcetrigger?t=a22777&amp;q=XNYS%3aROP&amp;form=skydnc</v>
    <v>Learn more on Bing</v>
  </rv>
  <rv s="1">
    <v>es-ES</v>
    <v>a22777</v>
    <v>268435456</v>
    <v>1</v>
    <v>Con tecnología de Refinitiv</v>
    <v>0</v>
    <v>1</v>
    <v>ROPER TECHNOLOGIES, INC. (XNAS:ROP)</v>
    <v>3</v>
    <v>4</v>
    <v>Finance</v>
    <v>5</v>
    <v>XNAS</v>
    <v>102927500</v>
    <v>1981</v>
    <v>346.98</v>
    <v>0.90859999999999996</v>
    <v>4.3499999999999996</v>
    <v>1.2546E-2</v>
    <v>36134757425</v>
    <v>346.72</v>
    <v>Roper Technologies, Inc. Es una compañía de tecnología diversificada. Opera negocios que diseñan y desarrollan software vertical y productos habilitados para tecnología para una variedad de nichos de mercado defendibles. La Compañía opera a través de tres segmentos: Software de Aplicación, Software de Red y Productos Activados por Tecnología. El segmento de software de aplicaciones incluye Aderant, Clinisys, Data Innovations, Deltek, Frontline, IntelliTrans, PowerPlan, Procare, Strata, Transact/CBORD, y Vertafore. El segmento de software de red incluye ConstructConnect, DAT, Foundry, iPipeline, iTradeNetwork, Loadlink, MHA, SHP y SoftWriters. El segmento de productos habilitados para la tecnología incluye CIVCO Medical Solutions, FMI, Inovonics, IPA, Neptune, Northern Digital, rf IDEAS y Verathon. Aderant es una solución integral de software de gestión para abogados y otras firmas de servicios profesionales. Data Innovations es una solución de software que permite la gestión empresarial de hospitales y laboratorios independientes.</v>
    <v>19400</v>
    <v>XNAS</v>
    <v>46107.99949966406</v>
    <v>Nasdaq Stock Market</v>
    <v>259</v>
    <v>356.5</v>
    <v>594.25</v>
    <v>344.27</v>
    <v>313.07</v>
    <v>USD</v>
    <v>ROPER TECHNOLOGIES, INC.</v>
    <v>ROPER TECHNOLOGIES, INC.</v>
    <v>24.729399999999998</v>
    <v>351.07</v>
    <v>Software &amp; IT Services</v>
    <v>6496 University Parkway, SARASOTA, FL, 34240 US</v>
    <v>ROP</v>
    <v>Acciones</v>
    <v>ROPER TECHNOLOGIES, INC. (XNAS:ROP)</v>
    <v>1197838</v>
    <v>1541166</v>
  </rv>
  <rv s="2">
    <v>260</v>
  </rv>
  <rv s="0">
    <v>https://www.bing.com/financeapi/forcetrigger?t=a1px2w&amp;q=XNAS%3aCME&amp;form=skydnc</v>
    <v>Learn more on Bing</v>
  </rv>
  <rv s="1">
    <v>es-ES</v>
    <v>a1px2w</v>
    <v>268435456</v>
    <v>1</v>
    <v>Con tecnología de Refinitiv</v>
    <v>0</v>
    <v>1</v>
    <v>CME GROUP INC. (XNAS:CME)</v>
    <v>3</v>
    <v>4</v>
    <v>Finance</v>
    <v>5</v>
    <v>XNAS</v>
    <v>362804900</v>
    <v>2001</v>
    <v>297.55</v>
    <v>0.29849999999999999</v>
    <v>3.65</v>
    <v>1.2418E-2</v>
    <v>107963482142</v>
    <v>293.93</v>
    <v>CME Group Inc. Ofrece un mercado de derivados. La Compañía permite a los clientes negociar futuros, opciones, efectivo y mercados extrabursátiles (OTC), optimizar carteras y analizar datos. Las bolsas de TI ofrecen una gama de productos de referencia globales en todas las principales clases de activos basados en tasas de interés, índices de acciones, divisas (FX), energía, productos agrícolas y metales. Ofrece futuros y opciones sobre el comercio de futuros a través de la plataforma CME Globex, el comercio de renta fija a través de BrokerTec y el comercio de divisas en la plataforma EBS. Además, opera el proveedor central de compensación de contraparte, CME Clearing. Sus productos proporcionan un medio de cobertura, especulación y asignación de activos relacionados con los riesgos asociados, entre otras cosas, con instrumentos sensibles a los tipos de interés y cambios en los precios de los productos agrícolas, energéticos y metálicos. Proporciona servicios de compensación y liquidación para una gama de futuros y opciones negociados en bolsa sobre contratos de futuros y derivados OTC.</v>
    <v>3875</v>
    <v>XNAS</v>
    <v>46107.993437580466</v>
    <v>Nasdaq Stock Market</v>
    <v>262</v>
    <v>300.85000000000002</v>
    <v>329.16</v>
    <v>294.08</v>
    <v>248.53</v>
    <v>USD</v>
    <v>CME GROUP INC.</v>
    <v>CME GROUP INC.</v>
    <v>26.665299999999998</v>
    <v>297.58</v>
    <v>Investment Banking &amp; Investment Services</v>
    <v>20 S. Wacker Dr., CHICAGO, IL, 60606 US</v>
    <v>CME</v>
    <v>Acciones</v>
    <v>CME GROUP INC. (XNAS:CME)</v>
    <v>203</v>
    <v>2433083</v>
  </rv>
  <rv s="2">
    <v>263</v>
  </rv>
  <rv s="0">
    <v>https://www.bing.com/financeapi/forcetrigger?t=a1qc1h&amp;q=XNYS%3aCRM&amp;form=skydnc</v>
    <v>Learn more on Bing</v>
  </rv>
  <rv s="1">
    <v>es-ES</v>
    <v>a1qc1h</v>
    <v>268435456</v>
    <v>1</v>
    <v>Con tecnología de Refinitiv</v>
    <v>0</v>
    <v>1</v>
    <v>SALESFORCE, INC. (XNYS:CRM)</v>
    <v>3</v>
    <v>4</v>
    <v>Finance</v>
    <v>5</v>
    <v>XNYS</v>
    <v>923000000</v>
    <v>1999</v>
    <v>181.18</v>
    <v>1.3073999999999999</v>
    <v>3.68</v>
    <v>2.0224000000000002E-2</v>
    <v>171345720000</v>
    <v>181.96</v>
    <v>Salesforce, Inc. Es un proveedor de tecnología de gestión de relaciones con clientes (CRM). La Compañía ayuda a organizaciones de cualquier tamaño a reimaginar su negocio para el mundo de la inteligencia artificial (IA). Con Agentforce, su plataforma, las organizaciones pueden reunir a los humanos con los agentes de IA para impulsar el éxito de los clientes en una plataforma profundamente unificada. Con la plataforma de Salesforce, ofrece una única fuente de información, conectando los datos de los clientes con IA integrada en todos los sistemas, aplicaciones y dispositivos para ayudar a las empresas a vender, ofrecer servicios, comercializar y llevar a cabo el comercio desde cualquier lugar. Agentforce es una nueva capa de la plataforma de Salesforce que permite a las empresas crear e implementar agentes de IA que pueden responder a las entradas, tomar decisiones y tomar medidas de forma autónoma en todas las funciones empresariales. Agentforce incluye un conjunto de agentes personalizables para su uso en ventas, servicios, marketing y comercio. Datablazer es un innovador basado en datos, que aprovecha la plataforma de la compañía para desbloquear información e impulsar decisiones.</v>
    <v>83334</v>
    <v>XNYS</v>
    <v>46107.999898286718</v>
    <v>New York Stock Exchange</v>
    <v>265</v>
    <v>187.47</v>
    <v>296.05</v>
    <v>179.53</v>
    <v>174.57</v>
    <v>USD</v>
    <v>SALESFORCE, INC.</v>
    <v>SALESFORCE, INC.</v>
    <v>23.7744</v>
    <v>185.64</v>
    <v>Software &amp; IT Services</v>
    <v>SALESFORCE TOWER, 415 MISSION STREET 3RD FL, SAN FRANCISCO, CA, 94105 US</v>
    <v>CRM</v>
    <v>Acciones</v>
    <v>SALESFORCE, INC. (XNYS:CRM)</v>
    <v>7943</v>
    <v>14506777</v>
  </rv>
  <rv s="2">
    <v>266</v>
  </rv>
  <rv s="0">
    <v>https://www.bing.com/financeapi/forcetrigger?t=a22wz2&amp;q=XNYS%3aSHOP&amp;form=skydnc</v>
    <v>Learn more on Bing</v>
  </rv>
  <rv s="1">
    <v>es-ES</v>
    <v>a22wz2</v>
    <v>268435456</v>
    <v>1</v>
    <v>Con tecnología de Refinitiv</v>
    <v>0</v>
    <v>1</v>
    <v>SHOPIFY INC. (XNAS:SHOP)</v>
    <v>3</v>
    <v>4</v>
    <v>Finance</v>
    <v>5</v>
    <v>XNAS</v>
    <v>1304111000</v>
    <v>2004</v>
    <v>116.25</v>
    <v>2.8464999999999998</v>
    <v>-2.99</v>
    <v>-2.5249000000000001E-2</v>
    <v>150533532730</v>
    <v>118.42</v>
    <v>Shopify Inc. (Shopify) es una compañía de comercio global con sede en Canadá. La Compañía proporciona una infraestructura esencial de Internet para el comercio, ofreciendo herramientas para iniciar, crecer, comercializar y administrar un negocio minorista de cualquier tamaño. Proporciona plataformas y servicios diseñados y ofrece una experiencia de compra para los consumidores en línea, en la tienda y en cualquier lugar intermedio. Su software permite a los comerciantes dirigir su negocio en todos sus canales de venta, incluyendo tiendas web y móviles, ubicaciones físicas de venta minorista, tiendas de redes sociales y mercados. La plataforma Shopify de la Compañía ofrece a los comerciantes una vista única de su negocio en todos sus canales de venta y les permite administrar productos e inventario, procesar pedidos y pagos, cumplir y enviar pedidos, construir relaciones con los clientes, obtener productos, aprovechar análisis e informes, y acceder a financiación, todo desde un solo back office integrado. La plataforma de Shopify opera en 175 países.</v>
    <v>7600</v>
    <v>XNAS</v>
    <v>46107.999608332815</v>
    <v>Nasdaq Stock Market</v>
    <v>268</v>
    <v>120.68</v>
    <v>182.19</v>
    <v>115</v>
    <v>69.84</v>
    <v>USD</v>
    <v>SHOPIFY INC.</v>
    <v>SHOPIFY INC.</v>
    <v>123.6331</v>
    <v>115.43</v>
    <v>Software &amp; IT Services</v>
    <v>151 O'connor Street, Ground Floor, OTTAWA, ON, K2P 2L8 CA</v>
    <v>SHOP</v>
    <v>Acciones</v>
    <v>SHOPIFY INC. (XNAS:SHOP)</v>
    <v>4032</v>
    <v>9885226</v>
  </rv>
  <rv s="2">
    <v>269</v>
  </rv>
  <rv s="0">
    <v>https://www.bing.com/financeapi/forcetrigger?t=a1zgm7&amp;q=XNAS%3aPANW&amp;form=skydnc</v>
    <v>Learn more on Bing</v>
  </rv>
  <rv s="1">
    <v>es-ES</v>
    <v>a1zgm7</v>
    <v>268435456</v>
    <v>1</v>
    <v>Con tecnología de Refinitiv</v>
    <v>0</v>
    <v>1</v>
    <v>PALO ALTO NETWORKS, INC. (XNAS:PANW)</v>
    <v>3</v>
    <v>4</v>
    <v>Finance</v>
    <v>5</v>
    <v>XNAS</v>
    <v>811000000</v>
    <v>2005</v>
    <v>152.24</v>
    <v>0.79920000000000002</v>
    <v>3.14</v>
    <v>2.0493000000000001E-2</v>
    <v>126807960000</v>
    <v>153.22</v>
    <v>Palo Alto Networks, Inc. Ofrece soluciones integrales de seguridad basadas en inteligencia artificial (IA) en redes, nube, operaciones de seguridad e IA. La empresa se centra en cuatro áreas: Seguridad de la red, seguridad en la nube, operaciones de seguridad e inteligencia de amenazas y servicios de asesoramiento (Unidad 42). Su plataforma de seguridad de red incluye firewalls alimentados por ML, AI Runtime Security y un marco de trabajo Secure Access Service Edge (SASE), que incluye Prisma Access, Prisma SD-WAN y Prisma Access Browser para proteger a las fuerzas de trabajo y sucursales remotas. Su seguridad en la nube se entrega a través de Prisma Cloud, una plataforma Code to Cloud que protege aplicaciones, datos, entornos GENAI y la pila nativa en la nube durante todo el ciclo de vida del desarrollo. Su división Unidad 42 proporciona servicios de consultoría basada en inteligencia, respuesta a incidentes, detección y respuesta gestionadas, y servicios de caza de amenazas. Prisma AIRS es una plataforma de seguridad de IA que protege aplicaciones, agentes, modelos y datos.</v>
    <v>17027</v>
    <v>XNAS</v>
    <v>46107.99989829844</v>
    <v>Nasdaq Stock Market</v>
    <v>271</v>
    <v>159.38999999999999</v>
    <v>223.61</v>
    <v>152.20009999999999</v>
    <v>139.57060000000001</v>
    <v>USD</v>
    <v>PALO ALTO NETWORKS, INC.</v>
    <v>PALO ALTO NETWORKS, INC.</v>
    <v>86.580500000000001</v>
    <v>156.36000000000001</v>
    <v>Software &amp; IT Services</v>
    <v>3000 Tannery Way, SANTA CLARA, CA, 95054 US</v>
    <v>PANW</v>
    <v>Acciones</v>
    <v>PALO ALTO NETWORKS, INC. (XNAS:PANW)</v>
    <v>16900</v>
    <v>10320225</v>
  </rv>
  <rv s="2">
    <v>272</v>
  </rv>
  <rv s="0">
    <v>https://www.bing.com/financeapi/forcetrigger?t=a1yoa2&amp;q=XNYS%3aNOW&amp;form=skydnc</v>
    <v>Learn more on Bing</v>
  </rv>
  <rv s="1">
    <v>es-ES</v>
    <v>a1yoa2</v>
    <v>268435456</v>
    <v>1</v>
    <v>Con tecnología de Refinitiv</v>
    <v>0</v>
    <v>1</v>
    <v>SERVICENOW, INC. (XNYS:NOW)</v>
    <v>3</v>
    <v>4</v>
    <v>Finance</v>
    <v>5</v>
    <v>XNYS</v>
    <v>1046000000</v>
    <v>2012</v>
    <v>102.42</v>
    <v>1.0176000000000001</v>
    <v>0.57999999999999996</v>
    <v>5.6279999999999993E-3</v>
    <v>108407440000</v>
    <v>103.06</v>
    <v>ServiceNow, Inc. Proporciona una plataforma de inteligencia artificial (IA) para la transformación empresarial. La plataforma de IA de la compañía conecta personas, procesos, datos y dispositivos para aumentar la productividad y maximizar los resultados empresariales. Su plataforma inteligente, Now Platform, es una solución basada en la nube que ayuda a las empresas y organizaciones de los sectores público y privado a digitalizar los flujos de trabajo. Las aplicaciones de flujo de trabajo creadas en la plataforma Now están organizadas en cuatro áreas principales: Tecnología, CRM e industria, Core Business y Creator. Sus productos incluyen Gestión de Servicios DE TI, Gestión de Operaciones DE TI, Entrega de Servicios de RRHH, Agentes de AI de ServiceNow, Experiencia de AI, construya Agente, Torre de Control AI de ServiceNow, Tela de Agente AI, RaptorDB, Tejido de Datos de Flujo de Trabajo, Entrega de Servicio en el Lugar de Trabajo, ServiceNow Platform Encryption, Gestión de Operaciones de Servicios de Telecomunicaciones y otros. La compañía también ofrece seguridad de identidad, ayudando a las organizaciones a asegurar el acceso en toda la empresa.</v>
    <v>29187</v>
    <v>XNYS</v>
    <v>46107.999991990626</v>
    <v>New York Stock Exchange</v>
    <v>274</v>
    <v>105.84</v>
    <v>211.47800000000001</v>
    <v>100.88</v>
    <v>98</v>
    <v>USD</v>
    <v>SERVICENOW, INC.</v>
    <v>SERVICENOW, INC.</v>
    <v>62.068100000000001</v>
    <v>103.64</v>
    <v>Software &amp; IT Services</v>
    <v>2225 Lawson Lane, SANTA CLARA, CA, 95054 US</v>
    <v>NOW</v>
    <v>Acciones</v>
    <v>SERVICENOW, INC. (XNYS:NOW)</v>
    <v>13874</v>
    <v>17433810</v>
  </rv>
  <rv s="2">
    <v>275</v>
  </rv>
  <rv s="0">
    <v>https://www.bing.com/financeapi/forcetrigger?t=ajg6ec&amp;q=XMIL%3aPRY&amp;form=skydnc</v>
    <v>Learn more on Bing</v>
  </rv>
  <rv s="12">
    <v>es-ES</v>
    <v>ajg6ec</v>
    <v>268435456</v>
    <v>1</v>
    <v>Con tecnología de Refinitiv</v>
    <v>40</v>
    <v>41</v>
    <v>Prysmian SpA (XMIL:PRY)</v>
    <v>3</v>
    <v>47</v>
    <v>Finance</v>
    <v>48</v>
    <v>XMIL</v>
    <v>296403800</v>
    <v>95.1</v>
    <v>0.84650000000000003</v>
    <v>-1.68</v>
    <v>-1.7521999999999999E-2</v>
    <v>25573720000</v>
    <v>95.88</v>
    <v>PRYSMIAN S.P.A. es una empresa con sede en Italia activa en el desarrollo, diseño, producción, suministro y montaje de cables. Las actividades de negocio de la Empresa se dividen en dos sectores principales: Energía y Telecomunicaciones. El segmento de Energía se divide en cuatro líneas de negocio, que incluyen los Servicios Públicos, que consta de sistemas de transmisión de potencia, transmisión submarina de energía y cables y sistemas para distribución de energía, así como componentes y accesorios; Comercio e Instaladores, ofrece cables de distribución de energía hasta y dentro de edificios; Industrial, que incluye cables para los sectores de energías renovables, automotriz, ascensor y petróleo y gas, y Otros, que está activa en la venta de productos semiacabados, materias primas u otros bienes. El segmento de Telecomunicaciones hace sistemas de cable y productos de conectividad utilizados en las redes de telecomunicaciones, incluyendo fibra óptica, cables ópticos, componentes de conectividad, cables ópticos terrestres y cables de cobre, entre otros.</v>
    <v>34368</v>
    <v>XMIL</v>
    <v>46108.415949074071</v>
    <v>Borsa Italiana</v>
    <v>277</v>
    <v>95.52</v>
    <v>106.55</v>
    <v>93.82</v>
    <v>38.57</v>
    <v>EUR</v>
    <v>Prysmian SpA</v>
    <v>Prysmian SpA</v>
    <v>23.871099999999998</v>
    <v>94.2</v>
    <v>Machinery, Equipment &amp; Components</v>
    <v>Via Chiese 6, MILANO, MILANO, 20126 IT</v>
    <v>PRY</v>
    <v>Acciones</v>
    <v>Prysmian SpA (XMIL:PRY)</v>
    <v>201195</v>
    <v>1216410</v>
  </rv>
  <rv s="2">
    <v>278</v>
  </rv>
  <rv s="0">
    <v>https://www.bing.com/financeapi/forcetrigger?t=bxl3p2&amp;q=XTSX%3aTOI&amp;form=skydnc</v>
    <v>Learn more on Bing</v>
  </rv>
  <rv s="13">
    <v>es-ES</v>
    <v>bxl3p2</v>
    <v>268435456</v>
    <v>1</v>
    <v>Con tecnología de Refinitiv</v>
    <v>49</v>
    <v>50</v>
    <v>Topicus.com (XTSX:TOI)</v>
    <v>3</v>
    <v>51</v>
    <v>Finance</v>
    <v>28</v>
    <v>XTSX</v>
    <v>83338870</v>
    <v>2021</v>
    <v>95.14</v>
    <v>0.21590000000000001</v>
    <v>-1.18</v>
    <v>-1.2402999999999999E-2</v>
    <v>7830520225</v>
    <v>95.14</v>
    <v>Topicus.com Inc. is a provider of vertical market software and vertical market platforms to clients in public and private sector markets. It is engaged in the development, installation and customization of software and the provision of related professional services and support for customers across several diverse markets, primarily in Europe. It acquires, builds and manages software companies providing specialized, mission-critical and software solutions that address the particular needs of customers. Its companies include Total Specific Solutions (TSS) and Topicus. Topicus is a premier provider of consumer-centric platforms and offers workspaces in the realms of finance, education, healthcare and social services. Total Specific Solutions is a software company that offers financial security, strategic guidance, and shared industry-standard practices. It also offers a variety of software solutions to help its clients enhance their digital service levels for Belgian citizens.</v>
    <v>XTSX</v>
    <v>46107.833333333336</v>
    <v>TSX Venture Exchange</v>
    <v>280</v>
    <v>97.93</v>
    <v>199</v>
    <v>93.625</v>
    <v>82.67</v>
    <v>CAD</v>
    <v>Topicus.com</v>
    <v>Topicus.com</v>
    <v>0</v>
    <v>93.96</v>
    <v>Software &amp; IT Services</v>
    <v>#1200-20 Adelaide Street, East, TORONTO, ON, M5C 2T6 CA</v>
    <v>TOI</v>
    <v>Acciones</v>
    <v>Topicus.com (XTSX:TOI)</v>
    <v>58347</v>
    <v>66380</v>
  </rv>
  <rv s="2">
    <v>281</v>
  </rv>
  <rv s="0">
    <v>https://www.bing.com/financeapi/forcetrigger?t=a1tg3m&amp;q=XNAS%3aFTNT&amp;form=skydnc</v>
    <v>Learn more on Bing</v>
  </rv>
  <rv s="1">
    <v>es-ES</v>
    <v>a1tg3m</v>
    <v>268435456</v>
    <v>1</v>
    <v>Con tecnología de Refinitiv</v>
    <v>0</v>
    <v>1</v>
    <v>FORTINET, INC. (XNAS:FTNT)</v>
    <v>3</v>
    <v>4</v>
    <v>Finance</v>
    <v>6</v>
    <v>XNAS</v>
    <v>739923600</v>
    <v>2000</v>
    <v>78.290000000000006</v>
    <v>1.0246999999999999</v>
    <v>2.14</v>
    <v>2.7126000000000001E-2</v>
    <v>59956009308</v>
    <v>78.89</v>
    <v>Fortinet, Inc. Se dedica a la ciberseguridad, impulsando la convergencia de las redes y la seguridad. La plataforma integrada de la compañía, Fortinet Security Fabric, abarca redes seguras, Secure Access Service Edge unificado (SASE) y operaciones de seguridad impulsadas por inteligencia artificial (IA) (SecOps). Sus productos y servicios incluyen FortiOS, FortiASIC, FortiCloud, FortiAI, FortiEndpoint, FortiCloud, FortiAI, FortiEndpoint, y otros. y OT Seguridad. FortiGuard Labs es una organización de investigación e inteligencia sobre amenazas de ciberseguridad compuesta por experimentados cazadores de amenazas, investigadores, analistas, ingenieros y científicos de datos que desarrollan y utilizan tecnologías de inteligencia artificial y aprendizaje automático. FortiGuard y otros servicios de seguridad son un conjunto de capacidades de seguridad impulsadas por IA que se integran como parte de Fortinet Security Fabric para ofrecer detección y aplicación coordinadas en toda la superficie de ataque. FortiCare Technical Support Service es un servicio de soporte técnico por dispositivo. También opera el Instituto de Fortinet.</v>
    <v>15109</v>
    <v>XNAS</v>
    <v>46107.99849672422</v>
    <v>Nasdaq Stock Market</v>
    <v>283</v>
    <v>81.72</v>
    <v>109.33</v>
    <v>78.290000000000006</v>
    <v>70.12</v>
    <v>USD</v>
    <v>FORTINET, INC.</v>
    <v>FORTINET, INC.</v>
    <v>33.390900000000002</v>
    <v>81.03</v>
    <v>Software &amp; IT Services</v>
    <v>909 Kifer Road, SUNNYVALE, CA, 94086 US</v>
    <v>FTNT</v>
    <v>Acciones</v>
    <v>FORTINET, INC. (XNAS:FTNT)</v>
    <v>265</v>
    <v>6310108</v>
  </rv>
  <rv s="2">
    <v>284</v>
  </rv>
  <rv s="0">
    <v>https://www.bing.com/financeapi/forcetrigger?t=azqpgh&amp;q=XNAS%3aDOCU&amp;form=skydnc</v>
    <v>Learn more on Bing</v>
  </rv>
  <rv s="1">
    <v>es-ES</v>
    <v>azqpgh</v>
    <v>268435456</v>
    <v>1</v>
    <v>Con tecnología de Refinitiv</v>
    <v>0</v>
    <v>1</v>
    <v>DOCUSIGN, INC. (XNAS:DOCU)</v>
    <v>3</v>
    <v>4</v>
    <v>Finance</v>
    <v>5</v>
    <v>XNAS</v>
    <v>194427900</v>
    <v>2012</v>
    <v>45.77</v>
    <v>1.0188999999999999</v>
    <v>0.88</v>
    <v>1.9006000000000002E-2</v>
    <v>9173108322</v>
    <v>46.3</v>
    <v>DocuSign, Inc. Proporciona una plataforma de gestión inteligente de acuerdos (IAM), una solución de firma electrónica y una solución de gestión del ciclo de vida de contratos (CLM), que permiten a las organizaciones aumentar la productividad, acelerar los ciclos de revisión de contratos y transformar los datos de los acuerdos en información y acciones. La plataforma IAM de la compañía automatiza los flujos de trabajo de acuerdos, descubre información procesable y aprovecha las capacidades de inteligencia artificial (IA), lo que permite a las organizaciones crear, comprometer y administrar acuerdos de forma virtual. Sus productos incluyen eSignature, CLM, IAM Apps y productos adicionales. Sus productos adicionales incluyen pagos para cobrar pagos junto con acuerdos firmados; identidad y firma basada en estándares para la identificación mejorada de firmantes y firmas con certificación digital; notario para notarización remota en línea; Monitor para análisis avanzados; Gen para Salesforce para la generación automatizada de acuerdos dentro de Salesforce, entre otros.</v>
    <v>7044</v>
    <v>XNAS</v>
    <v>46107.986510000002</v>
    <v>Nasdaq Stock Market</v>
    <v>286</v>
    <v>47.75</v>
    <v>94.67</v>
    <v>45.7</v>
    <v>40.159999999999997</v>
    <v>USD</v>
    <v>DOCUSIGN, INC.</v>
    <v>DOCUSIGN, INC.</v>
    <v>32.917299999999997</v>
    <v>47.18</v>
    <v>Software &amp; IT Services</v>
    <v>221 Main St., Suite 1550, SAN FRANCISCO, CA, 94105 US</v>
    <v>DOCU</v>
    <v>Acciones</v>
    <v>DOCUSIGN, INC. (XNAS:DOCU)</v>
    <v>4190</v>
    <v>5832910</v>
  </rv>
  <rv s="2">
    <v>287</v>
  </rv>
  <rv s="0">
    <v>https://www.bing.com/financeapi/forcetrigger?t=brg5u2&amp;q=XNYS%3aHIMS&amp;form=skydnc</v>
    <v>Learn more on Bing</v>
  </rv>
  <rv s="1">
    <v>es-ES</v>
    <v>brg5u2</v>
    <v>268435456</v>
    <v>1</v>
    <v>Con tecnología de Refinitiv</v>
    <v>0</v>
    <v>1</v>
    <v>HIMS &amp; HERS HEALTH, INC. (XNYS:HIMS)</v>
    <v>3</v>
    <v>4</v>
    <v>Finance</v>
    <v>5</v>
    <v>XNYS</v>
    <v>227938800</v>
    <v>2021</v>
    <v>20.58</v>
    <v>2.3645</v>
    <v>0.02</v>
    <v>9.5969999999999996E-4</v>
    <v>4754803368</v>
    <v>20.84</v>
    <v>HIMS &amp; Hers Health, Inc. Ofrece una plataforma de atención al consumidor, que ayuda a los clientes a satisfacer sus necesidades de salud y bienestar. Su plataforma incluye acceso a una red de proveedores, un sistema de registros médicos electrónicos centrado clínicamente, recetas digitales, cumplimiento de farmacias en la nube y capacidades de personalización. Su plataforma digital permite el acceso a tratamientos para una amplia gama de enfermedades crónicas, incluidas las relacionadas con la salud sexual, la pérdida de cabello, la dermatología, la salud mental y la pérdida de peso. Conecta a los pacientes con profesionales de la salud con licencia que pueden recetar medicamentos cuando sea apropiado y las recetas se cumplen en línea a través de farmacias con licencia en base a una suscripción. También ofrece acceso a una gama de productos de salud y bienestar diseñados para satisfacer las necesidades individuales, que pueden incluir productos curados con y sin receta. A través de sus aplicaciones móviles, los consumidores pueden acceder a una gama de programas educativos, contenido de bienestar y otros servicios.</v>
    <v>2442</v>
    <v>XNYS</v>
    <v>46107.999933414059</v>
    <v>New York Stock Exchange</v>
    <v>289</v>
    <v>21.22</v>
    <v>70.430000000000007</v>
    <v>20.02</v>
    <v>13.74</v>
    <v>USD</v>
    <v>HIMS &amp; HERS HEALTH, INC.</v>
    <v>HIMS &amp; HERS HEALTH, INC.</v>
    <v>40.640599999999999</v>
    <v>20.86</v>
    <v>Healthcare Providers &amp; Services</v>
    <v>2269 Chestnut St, #523, SAN FRANCISCO, CA, 94123 US</v>
    <v>HIMS</v>
    <v>Acciones</v>
    <v>HIMS &amp; HERS HEALTH, INC. (XNYS:HIMS)</v>
    <v>22299</v>
    <v>45381975</v>
  </rv>
  <rv s="2">
    <v>290</v>
  </rv>
</rvData>
</file>

<file path=xl/richData/rdrichvaluestructure.xml><?xml version="1.0" encoding="utf-8"?>
<rvStructures xmlns="http://schemas.microsoft.com/office/spreadsheetml/2017/richdata" count="14">
  <s t="_hyperlink">
    <k n="Address" t="s"/>
    <k n="Text" t="s"/>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I"/>
    <k n="Precio"/>
    <k n="Sector" t="s"/>
    <k n="Sede central" t="s"/>
    <k n="Símbolo bursátil" t="s"/>
    <k n="Tipo de instrumento" t="s"/>
    <k n="UniqueName" t="s"/>
    <k n="Volumen"/>
    <k n="Volumen promedio"/>
  </s>
  <s t="_linkedentity">
    <k n="%cvi" t="r"/>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xchangeID" t="s"/>
    <k n="Hora de la última operación"/>
    <k n="Intercambio" t="s"/>
    <k n="LearnMoreOnLink" t="r"/>
    <k n="Máximo"/>
    <k n="Máximo en 52 semanas"/>
    <k n="Mínimo"/>
    <k n="Mínimo en 52 semanas"/>
    <k n="Moneda" t="s"/>
    <k n="Nombre" t="s"/>
    <k n="Nombre oficial" t="s"/>
    <k n="Precio"/>
    <k n="Sector" t="s"/>
    <k n="Sede central" t="s"/>
    <k n="Símbolo bursátil" t="s"/>
    <k n="Tipo de instrumento" t="s"/>
    <k n="UniqueName" t="s"/>
    <k n="Volumen"/>
    <k n="Volumen promedio"/>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magen" t="r"/>
    <k n="Intercambio" t="s"/>
    <k n="LearnMoreOnLink" t="r"/>
    <k n="Máximo"/>
    <k n="Máximo en 52 semanas"/>
    <k n="Mínimo"/>
    <k n="Mínimo en 52 semanas"/>
    <k n="Moneda" t="s"/>
    <k n="Nombre" t="s"/>
    <k n="Nombre oficial" t="s"/>
    <k n="P/I"/>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I"/>
    <k n="Precio"/>
    <k n="Precio (horario ampliad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ntercambio" t="s"/>
    <k n="Máximo"/>
    <k n="Máximo en 52 semanas"/>
    <k n="Mínimo"/>
    <k n="Mínimo en 52 semanas"/>
    <k n="Moneda" t="s"/>
    <k n="Nombre" t="s"/>
    <k n="Nombre oficial" t="s"/>
    <k n="P/I"/>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ntercambio" t="s"/>
    <k n="Máximo"/>
    <k n="Máximo en 52 semanas"/>
    <k n="Mínimo"/>
    <k n="Mínimo en 52 semanas"/>
    <k n="Moneda" t="s"/>
    <k n="Nombre" t="s"/>
    <k n="Nombre oficial" t="s"/>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mpleados"/>
    <k n="ExchangeID" t="s"/>
    <k n="Hora de la última operación"/>
    <k n="Intercambio" t="s"/>
    <k n="LearnMoreOnLink" t="r"/>
    <k n="Máximo"/>
    <k n="Mínimo"/>
    <k n="Moneda" t="s"/>
    <k n="Nombre" t="s"/>
    <k n="Nombre oficial" t="s"/>
    <k n="P/I"/>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pertura"/>
    <k n="Beta"/>
    <k n="Cambio"/>
    <k n="Cambio (%)"/>
    <k n="Capitalización de mercado"/>
    <k n="Cierre anterior"/>
    <k n="Descripción" t="s"/>
    <k n="Empleados"/>
    <k n="ExchangeID" t="s"/>
    <k n="Hora de la última operación"/>
    <k n="Intercambio" t="s"/>
    <k n="LearnMoreOnLink" t="r"/>
    <k n="Máximo"/>
    <k n="Máximo en 52 semanas"/>
    <k n="Mínimo"/>
    <k n="Mínimo en 52 semanas"/>
    <k n="Moneda" t="s"/>
    <k n="Nombre" t="s"/>
    <k n="Nombre oficial" t="s"/>
    <k n="P/I"/>
    <k n="Precio"/>
    <k n="Sector" t="s"/>
    <k n="Sede central" t="s"/>
    <k n="Símbolo bursátil" t="s"/>
    <k n="Tipo de instrumento" t="s"/>
    <k n="UniqueName" t="s"/>
    <k n="Volumen"/>
    <k n="Volumen promedio"/>
  </s>
  <s t="_linkedentitycore">
    <k n="%EntityCulture" t="s"/>
    <k n="%EntityId" t="s"/>
    <k n="%EntityServiceId"/>
    <k n="%IsRefreshable" t="b"/>
    <k n="%ProviderInfo" t="s"/>
    <k n="_CanonicalPropertyNames" t="spb"/>
    <k n="_Display" t="spb"/>
    <k n="_DisplayString" t="s"/>
    <k n="_Flags" t="spb"/>
    <k n="_Format" t="spb"/>
    <k n="_Icon" t="s"/>
    <k n="_SubLabel" t="spb"/>
    <k n="Abreviatura de intercambio" t="s"/>
    <k n="Acciones en circulación"/>
    <k n="Año de constitución"/>
    <k n="Apertura"/>
    <k n="Beta"/>
    <k n="Cambio"/>
    <k n="Cambio (%)"/>
    <k n="Capitalización de mercado"/>
    <k n="Cierre anterior"/>
    <k n="Descripción" t="s"/>
    <k n="ExchangeID" t="s"/>
    <k n="Hora de la última operación"/>
    <k n="Intercambio" t="s"/>
    <k n="LearnMoreOnLink" t="r"/>
    <k n="Máximo"/>
    <k n="Máximo en 52 semanas"/>
    <k n="Mínimo"/>
    <k n="Mínimo en 52 semanas"/>
    <k n="Moneda" t="s"/>
    <k n="Nombre" t="s"/>
    <k n="Nombre oficial" t="s"/>
    <k n="P/I"/>
    <k n="Precio"/>
    <k n="Sector" t="s"/>
    <k n="Sede central" t="s"/>
    <k n="Símbolo bursátil" t="s"/>
    <k n="Tipo de instrumento" t="s"/>
    <k n="UniqueName" t="s"/>
    <k n="Volumen"/>
    <k n="Volumen promedio"/>
  </s>
</rvStructures>
</file>

<file path=xl/richData/rdsupportingpropertybag.xml><?xml version="1.0" encoding="utf-8"?>
<supportingPropertyBags xmlns="http://schemas.microsoft.com/office/spreadsheetml/2017/richdata2">
  <spbArrays count="10">
    <a count="43">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P/I</v>
      <v t="s">Acciones en circulación</v>
      <v t="s">Descripción</v>
      <v t="s">Empleados</v>
      <v t="s">Sede central</v>
      <v t="s">Sector</v>
      <v t="s">Tipo de instrumento</v>
      <v t="s">Año de constitución</v>
      <v t="s">_Flags</v>
      <v t="s">UniqueName</v>
      <v t="s">_DisplayString</v>
      <v t="s">LearnMoreOnLink</v>
      <v t="s">ExchangeID</v>
      <v t="s">%ProviderInfo</v>
    </a>
    <a count="41">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Acciones en circulación</v>
      <v t="s">Descripción</v>
      <v t="s">Sede central</v>
      <v t="s">Sector</v>
      <v t="s">Tipo de instrumento</v>
      <v t="s">Año de constitución</v>
      <v t="s">_Flags</v>
      <v t="s">UniqueName</v>
      <v t="s">_DisplayString</v>
      <v t="s">LearnMoreOnLink</v>
      <v t="s">ExchangeID</v>
      <v t="s">%ProviderInfo</v>
    </a>
    <a count="44">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P/I</v>
      <v t="s">Acciones en circulación</v>
      <v t="s">Descripción</v>
      <v t="s">Empleados</v>
      <v t="s">Sede central</v>
      <v t="s">Sector</v>
      <v t="s">Tipo de instrumento</v>
      <v t="s">Año de constitución</v>
      <v t="s">_Flags</v>
      <v t="s">UniqueName</v>
      <v t="s">_DisplayString</v>
      <v t="s">LearnMoreOnLink</v>
      <v t="s">Imagen</v>
      <v t="s">ExchangeID</v>
      <v t="s">%ProviderInfo</v>
    </a>
    <a count="44">
      <v t="s">%EntityServiceId</v>
      <v t="s">_Format</v>
      <v t="s">%IsRefreshable</v>
      <v t="s">_CanonicalPropertyNames</v>
      <v t="s">%EntityCulture</v>
      <v t="s">%EntityId</v>
      <v t="s">_Icon</v>
      <v t="s">_Display</v>
      <v t="s">Nombre</v>
      <v t="s">_SubLabel</v>
      <v t="s">Precio</v>
      <v t="s">Precio (horario ampliado)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P/I</v>
      <v t="s">Acciones en circulación</v>
      <v t="s">Descripción</v>
      <v t="s">Empleados</v>
      <v t="s">Sede central</v>
      <v t="s">Sector</v>
      <v t="s">Tipo de instrumento</v>
      <v t="s">Año de constitución</v>
      <v t="s">_Flags</v>
      <v t="s">UniqueName</v>
      <v t="s">_DisplayString</v>
      <v t="s">LearnMoreOnLink</v>
      <v t="s">ExchangeID</v>
      <v t="s">%ProviderInfo</v>
    </a>
    <a count="42">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P/I</v>
      <v t="s">Acciones en circulación</v>
      <v t="s">Descripción</v>
      <v t="s">Empleados</v>
      <v t="s">Sede central</v>
      <v t="s">Sector</v>
      <v t="s">Tipo de instrumento</v>
      <v t="s">Año de constitución</v>
      <v t="s">_Flags</v>
      <v t="s">UniqueName</v>
      <v t="s">_DisplayString</v>
      <v t="s">ExchangeID</v>
      <v t="s">%ProviderInfo</v>
    </a>
    <a count="42">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Acciones en circulación</v>
      <v t="s">Descripción</v>
      <v t="s">Empleados</v>
      <v t="s">Sede central</v>
      <v t="s">Sector</v>
      <v t="s">Tipo de instrumento</v>
      <v t="s">Año de constitución</v>
      <v t="s">_Flags</v>
      <v t="s">UniqueName</v>
      <v t="s">_DisplayString</v>
      <v t="s">LearnMoreOnLink</v>
      <v t="s">ExchangeID</v>
      <v t="s">%ProviderInfo</v>
    </a>
    <a count="41">
      <v t="s">%EntityServiceId</v>
      <v t="s">_Format</v>
      <v t="s">%IsRefreshable</v>
      <v t="s">_CanonicalPropertyNames</v>
      <v t="s">%EntityCulture</v>
      <v t="s">%EntityId</v>
      <v t="s">_Icon</v>
      <v t="s">_Display</v>
      <v t="s">Nombre</v>
      <v t="s">Precio</v>
      <v t="s">Intercambio</v>
      <v t="s">Nombre oficial</v>
      <v t="s">_SubLabel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Acciones en circulación</v>
      <v t="s">Descripción</v>
      <v t="s">Empleados</v>
      <v t="s">Sede central</v>
      <v t="s">Sector</v>
      <v t="s">Tipo de instrumento</v>
      <v t="s">Año de constitución</v>
      <v t="s">_Flags</v>
      <v t="s">UniqueName</v>
      <v t="s">_DisplayString</v>
      <v t="s">ExchangeID</v>
      <v t="s">%ProviderInfo</v>
    </a>
    <a count="41">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Volumen</v>
      <v t="s">Volumen promedio</v>
      <v t="s">Capitalización de mercado</v>
      <v t="s">Beta</v>
      <v t="s">P/I</v>
      <v t="s">Acciones en circulación</v>
      <v t="s">Descripción</v>
      <v t="s">Empleados</v>
      <v t="s">Sede central</v>
      <v t="s">Sector</v>
      <v t="s">Tipo de instrumento</v>
      <v t="s">Año de constitución</v>
      <v t="s">_Flags</v>
      <v t="s">UniqueName</v>
      <v t="s">_DisplayString</v>
      <v t="s">LearnMoreOnLink</v>
      <v t="s">ExchangeID</v>
      <v t="s">%ProviderInfo</v>
    </a>
    <a count="42">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P/I</v>
      <v t="s">Acciones en circulación</v>
      <v t="s">Descripción</v>
      <v t="s">Empleados</v>
      <v t="s">Sede central</v>
      <v t="s">Sector</v>
      <v t="s">Tipo de instrumento</v>
      <v t="s">_Flags</v>
      <v t="s">UniqueName</v>
      <v t="s">_DisplayString</v>
      <v t="s">LearnMoreOnLink</v>
      <v t="s">ExchangeID</v>
      <v t="s">%ProviderInfo</v>
    </a>
    <a count="42">
      <v t="s">%EntityServiceId</v>
      <v t="s">_Format</v>
      <v t="s">%IsRefreshable</v>
      <v t="s">_CanonicalPropertyNames</v>
      <v t="s">%EntityCulture</v>
      <v t="s">%EntityId</v>
      <v t="s">_Icon</v>
      <v t="s">_Display</v>
      <v t="s">Nombre</v>
      <v t="s">_SubLabel</v>
      <v t="s">Precio</v>
      <v t="s">Intercambio</v>
      <v t="s">Nombre oficial</v>
      <v t="s">Hora de la última operación</v>
      <v t="s">Símbolo bursátil</v>
      <v t="s">Abreviatura de intercambio</v>
      <v t="s">Cambio</v>
      <v t="s">Cambio (%)</v>
      <v t="s">Moneda</v>
      <v t="s">Cierre anterior</v>
      <v t="s">Apertura</v>
      <v t="s">Máximo</v>
      <v t="s">Mínimo</v>
      <v t="s">Máximo en 52 semanas</v>
      <v t="s">Mínimo en 52 semanas</v>
      <v t="s">Volumen</v>
      <v t="s">Volumen promedio</v>
      <v t="s">Capitalización de mercado</v>
      <v t="s">Beta</v>
      <v t="s">P/I</v>
      <v t="s">Acciones en circulación</v>
      <v t="s">Descripción</v>
      <v t="s">Sede central</v>
      <v t="s">Sector</v>
      <v t="s">Tipo de instrumento</v>
      <v t="s">Año de constitución</v>
      <v t="s">_Flags</v>
      <v t="s">UniqueName</v>
      <v t="s">_DisplayString</v>
      <v t="s">LearnMoreOnLink</v>
      <v t="s">ExchangeID</v>
      <v t="s">%ProviderInfo</v>
    </a>
  </spbArrays>
  <spbData count="52">
    <spb s="0">
      <v>P/E</v>
      <v>Beta</v>
      <v>Change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Market cap</v>
      <v>Exchange abbreviation</v>
      <v>Last trade time</v>
    </spb>
    <spb s="1">
      <v>0</v>
      <v>Name</v>
      <v>LearnMoreOnLink</v>
    </spb>
    <spb s="2">
      <v>0</v>
      <v>0</v>
      <v>0</v>
    </spb>
    <spb s="3">
      <v>2</v>
      <v>2</v>
      <v>2</v>
      <v>2</v>
    </spb>
    <spb s="4">
      <v>1</v>
      <v>1</v>
      <v>2</v>
      <v>2</v>
      <v>2</v>
      <v>3</v>
      <v>2</v>
      <v>4</v>
      <v>2</v>
      <v>4</v>
      <v>5</v>
      <v>2</v>
      <v>4</v>
      <v>6</v>
      <v>7</v>
      <v>2</v>
      <v>2</v>
      <v>4</v>
      <v>8</v>
      <v>9</v>
    </spb>
    <spb s="5">
      <v xml:space="preserve">desde el cierre anterior </v>
      <v>Tiempo real Nasdaq Última venta</v>
      <v xml:space="preserve">desde el cierre anterior </v>
      <v>Origen: Nasdaq Última venta</v>
      <v>GMT</v>
    </spb>
    <spb s="5">
      <v xml:space="preserve">desde el cierre anterior </v>
      <v>Retrasado 15 minutos</v>
      <v xml:space="preserve">desde el cierre anterior </v>
      <v>Origen: Nasdaq</v>
      <v>GMT</v>
    </spb>
    <spb s="6">
      <v>Beta</v>
      <v>Change</v>
      <v>Currency</v>
      <v>High</v>
      <v>Low</v>
      <v>Name</v>
      <v>Price</v>
      <v>Industry</v>
      <v>Volume</v>
      <v>Open</v>
      <v>Change (%)</v>
      <v>ExchangeID</v>
      <v>UniqueName</v>
      <v>Description</v>
      <v>Exchange</v>
      <v>Headquarters</v>
      <v>%ProviderInfo</v>
      <v>Official name</v>
      <v>Previous close</v>
      <v>LearnMoreOnLink</v>
      <v>Ticker symbol</v>
      <v>Volume average</v>
      <v>Year incorporated</v>
      <v>Instrument type</v>
      <v>52 week high</v>
      <v>52 week low</v>
      <v>Shares outstanding</v>
      <v>Market cap</v>
      <v>Exchange abbreviation</v>
      <v>Last trade time</v>
    </spb>
    <spb s="1">
      <v>1</v>
      <v>Name</v>
      <v>LearnMoreOnLink</v>
    </spb>
    <spb s="7">
      <v>1</v>
      <v>10</v>
      <v>10</v>
      <v>10</v>
      <v>3</v>
      <v>10</v>
      <v>4</v>
      <v>10</v>
      <v>5</v>
      <v>10</v>
      <v>4</v>
      <v>6</v>
      <v>7</v>
      <v>10</v>
      <v>10</v>
      <v>4</v>
      <v>11</v>
      <v>9</v>
    </spb>
    <spb s="8">
      <v xml:space="preserve">desde el cierre anterior </v>
      <v>Retrasado 15 minutos</v>
      <v xml:space="preserve">desde el cierre anterior </v>
      <v>GMT</v>
    </spb>
    <spb s="9">
      <v>P/E</v>
      <v>Beta</v>
      <v>Change</v>
      <v>Image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Market cap</v>
      <v>Exchange abbreviation</v>
      <v>Last trade time</v>
    </spb>
    <spb s="1">
      <v>2</v>
      <v>Name</v>
      <v>LearnMoreOnLink</v>
    </spb>
    <spb s="10">
      <v>0</v>
      <v>0</v>
    </spb>
    <spb s="11">
      <v>13</v>
      <v>2</v>
      <v>2</v>
      <v>2</v>
      <v>2</v>
    </spb>
    <spb s="12">
      <v>1</v>
      <v>1</v>
      <v>2</v>
      <v>12</v>
      <v>2</v>
      <v>2</v>
      <v>3</v>
      <v>2</v>
      <v>4</v>
      <v>2</v>
      <v>4</v>
      <v>5</v>
      <v>2</v>
      <v>4</v>
      <v>6</v>
      <v>7</v>
      <v>2</v>
      <v>2</v>
      <v>4</v>
      <v>8</v>
      <v>9</v>
    </spb>
    <spb s="13">
      <v>Con tecnología de Refinitiv</v>
    </spb>
    <spb s="14">
      <v>P/E</v>
      <v>Beta</v>
      <v>Change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Market cap</v>
      <v>Price (Extended hours)</v>
      <v>Exchange abbreviation</v>
      <v>Last trade time</v>
    </spb>
    <spb s="1">
      <v>3</v>
      <v>Name</v>
      <v>LearnMoreOnLink</v>
    </spb>
    <spb s="15">
      <v>1</v>
      <v>1</v>
      <v>2</v>
      <v>2</v>
      <v>2</v>
      <v>3</v>
      <v>2</v>
      <v>4</v>
      <v>2</v>
      <v>4</v>
      <v>5</v>
      <v>2</v>
      <v>4</v>
      <v>6</v>
      <v>7</v>
      <v>2</v>
      <v>2</v>
      <v>4</v>
      <v>8</v>
      <v>2</v>
      <v>9</v>
    </spb>
    <spb s="16">
      <v xml:space="preserve">desde el cierre anterior </v>
      <v xml:space="preserve">al cierre </v>
      <v xml:space="preserve">desde el cierre anterior </v>
      <v>Origen: Nasdaq</v>
      <v>Retrasado 15 minutos</v>
      <v>GMT</v>
    </spb>
    <spb s="17">
      <v>P/E</v>
      <v>Beta</v>
      <v>Change</v>
      <v>Currency</v>
      <v>High</v>
      <v>Low</v>
      <v>Name</v>
      <v>Price</v>
      <v>Industry</v>
      <v>Volume</v>
      <v>Open</v>
      <v>Employees</v>
      <v>Change (%)</v>
      <v>ExchangeID</v>
      <v>UniqueName</v>
      <v>Description</v>
      <v>Exchange</v>
      <v>Headquarters</v>
      <v>%ProviderInfo</v>
      <v>Official name</v>
      <v>Previous close</v>
      <v>Ticker symbol</v>
      <v>Volume average</v>
      <v>Year incorporated</v>
      <v>Instrument type</v>
      <v>52 week high</v>
      <v>52 week low</v>
      <v>Shares outstanding</v>
      <v>Market cap</v>
      <v>Exchange abbreviation</v>
      <v>Last trade time</v>
    </spb>
    <spb s="18">
      <v>4</v>
      <v>Name</v>
    </spb>
    <spb s="19">
      <v>2</v>
      <v>2</v>
      <v>2</v>
    </spb>
    <spb s="20">
      <v>Beta</v>
      <v>Change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52 week high</v>
      <v>52 week low</v>
      <v>Shares outstanding</v>
      <v>Market cap</v>
      <v>Exchange abbreviation</v>
      <v>Last trade time</v>
    </spb>
    <spb s="1">
      <v>5</v>
      <v>Name</v>
      <v>LearnMoreOnLink</v>
    </spb>
    <spb s="21">
      <v>1</v>
      <v>2</v>
      <v>2</v>
      <v>2</v>
      <v>3</v>
      <v>2</v>
      <v>4</v>
      <v>2</v>
      <v>4</v>
      <v>5</v>
      <v>2</v>
      <v>4</v>
      <v>6</v>
      <v>7</v>
      <v>2</v>
      <v>2</v>
      <v>4</v>
      <v>8</v>
      <v>9</v>
    </spb>
    <spb s="4">
      <v>1</v>
      <v>1</v>
      <v>10</v>
      <v>10</v>
      <v>10</v>
      <v>3</v>
      <v>10</v>
      <v>4</v>
      <v>10</v>
      <v>4</v>
      <v>5</v>
      <v>10</v>
      <v>4</v>
      <v>6</v>
      <v>7</v>
      <v>10</v>
      <v>10</v>
      <v>4</v>
      <v>11</v>
      <v>9</v>
    </spb>
    <spb s="8">
      <v xml:space="preserve">desde el cierre anterior </v>
      <v>Retrasado 20 minutos</v>
      <v xml:space="preserve">desde el cierre anterior </v>
      <v>GMT</v>
    </spb>
    <spb s="22">
      <v>Beta</v>
      <v>Change</v>
      <v>Currency</v>
      <v>High</v>
      <v>Low</v>
      <v>Name</v>
      <v>Price</v>
      <v>Industry</v>
      <v>Volume</v>
      <v>Open</v>
      <v>Employees</v>
      <v>Change (%)</v>
      <v>ExchangeID</v>
      <v>UniqueName</v>
      <v>Description</v>
      <v>Exchange</v>
      <v>Headquarters</v>
      <v>%ProviderInfo</v>
      <v>Official name</v>
      <v>Previous close</v>
      <v>Ticker symbol</v>
      <v>Volume average</v>
      <v>Year incorporated</v>
      <v>Instrument type</v>
      <v>52 week high</v>
      <v>52 week low</v>
      <v>Shares outstanding</v>
      <v>Market cap</v>
      <v>Exchange abbreviation</v>
      <v>Last trade time</v>
    </spb>
    <spb s="18">
      <v>6</v>
      <v>Name</v>
    </spb>
    <spb s="21">
      <v>1</v>
      <v>10</v>
      <v>10</v>
      <v>10</v>
      <v>3</v>
      <v>10</v>
      <v>4</v>
      <v>10</v>
      <v>4</v>
      <v>5</v>
      <v>10</v>
      <v>4</v>
      <v>6</v>
      <v>7</v>
      <v>10</v>
      <v>10</v>
      <v>4</v>
      <v>8</v>
      <v>9</v>
    </spb>
    <spb s="23">
      <v xml:space="preserve">desde el cierre anterior </v>
      <v xml:space="preserve">desde el cierre anterior </v>
      <v>GMT</v>
    </spb>
    <spb s="24">
      <v>P/E</v>
      <v>Beta</v>
      <v>Change</v>
      <v>Currency</v>
      <v>High</v>
      <v>Low</v>
      <v>Name</v>
      <v>Price</v>
      <v>Industry</v>
      <v>Volume</v>
      <v>Open</v>
      <v>Employees</v>
      <v>Change (%)</v>
      <v>ExchangeID</v>
      <v>UniqueName</v>
      <v>Description</v>
      <v>Exchange</v>
      <v>Headquarters</v>
      <v>%ProviderInfo</v>
      <v>Official name</v>
      <v>Previous close</v>
      <v>LearnMoreOnLink</v>
      <v>Ticker symbol</v>
      <v>Volume average</v>
      <v>Year incorporated</v>
      <v>Instrument type</v>
      <v>Shares outstanding</v>
      <v>Market cap</v>
      <v>Exchange abbreviation</v>
      <v>Last trade time</v>
    </spb>
    <spb s="1">
      <v>7</v>
      <v>Name</v>
      <v>LearnMoreOnLink</v>
    </spb>
    <spb s="25">
      <v>1</v>
      <v>1</v>
      <v>13</v>
      <v>13</v>
      <v>13</v>
      <v>3</v>
      <v>13</v>
      <v>4</v>
      <v>13</v>
      <v>4</v>
      <v>5</v>
      <v>13</v>
      <v>4</v>
      <v>6</v>
      <v>7</v>
      <v>4</v>
      <v>14</v>
      <v>15</v>
    </spb>
    <spb s="25">
      <v>1</v>
      <v>1</v>
      <v>13</v>
      <v>13</v>
      <v>13</v>
      <v>3</v>
      <v>13</v>
      <v>4</v>
      <v>13</v>
      <v>4</v>
      <v>5</v>
      <v>13</v>
      <v>4</v>
      <v>6</v>
      <v>7</v>
      <v>4</v>
      <v>8</v>
      <v>15</v>
    </spb>
    <spb s="21">
      <v>1</v>
      <v>16</v>
      <v>16</v>
      <v>16</v>
      <v>3</v>
      <v>16</v>
      <v>4</v>
      <v>16</v>
      <v>4</v>
      <v>5</v>
      <v>16</v>
      <v>4</v>
      <v>6</v>
      <v>7</v>
      <v>16</v>
      <v>16</v>
      <v>4</v>
      <v>17</v>
      <v>9</v>
    </spb>
    <spb s="5">
      <v xml:space="preserve">desde el cierre anterior </v>
      <v>Retrasado 15 minutos</v>
      <v xml:space="preserve">desde el cierre anterior </v>
      <v>PSE</v>
      <v>GMT</v>
    </spb>
    <spb s="4">
      <v>1</v>
      <v>1</v>
      <v>13</v>
      <v>13</v>
      <v>13</v>
      <v>3</v>
      <v>13</v>
      <v>4</v>
      <v>13</v>
      <v>4</v>
      <v>5</v>
      <v>13</v>
      <v>4</v>
      <v>6</v>
      <v>7</v>
      <v>13</v>
      <v>13</v>
      <v>4</v>
      <v>14</v>
      <v>9</v>
    </spb>
    <spb s="26">
      <v>P/E</v>
      <v>Beta</v>
      <v>Change</v>
      <v>Currency</v>
      <v>High</v>
      <v>Low</v>
      <v>Name</v>
      <v>Price</v>
      <v>Industry</v>
      <v>Volume</v>
      <v>Open</v>
      <v>Employees</v>
      <v>Change (%)</v>
      <v>ExchangeID</v>
      <v>UniqueName</v>
      <v>Description</v>
      <v>Exchange</v>
      <v>Headquarters</v>
      <v>%ProviderInfo</v>
      <v>Official name</v>
      <v>Previous close</v>
      <v>LearnMoreOnLink</v>
      <v>Ticker symbol</v>
      <v>Volume average</v>
      <v>Instrument type</v>
      <v>52 week high</v>
      <v>52 week low</v>
      <v>Shares outstanding</v>
      <v>Market cap</v>
      <v>Exchange abbreviation</v>
      <v>Last trade time</v>
    </spb>
    <spb s="1">
      <v>8</v>
      <v>Name</v>
      <v>LearnMoreOnLink</v>
    </spb>
    <spb s="27">
      <v>1</v>
      <v>1</v>
      <v>2</v>
      <v>2</v>
      <v>2</v>
      <v>3</v>
      <v>2</v>
      <v>4</v>
      <v>2</v>
      <v>4</v>
      <v>5</v>
      <v>2</v>
      <v>4</v>
      <v>6</v>
      <v>2</v>
      <v>2</v>
      <v>4</v>
      <v>14</v>
      <v>9</v>
    </spb>
    <spb s="4">
      <v>1</v>
      <v>1</v>
      <v>18</v>
      <v>18</v>
      <v>18</v>
      <v>3</v>
      <v>18</v>
      <v>4</v>
      <v>18</v>
      <v>4</v>
      <v>5</v>
      <v>18</v>
      <v>4</v>
      <v>6</v>
      <v>7</v>
      <v>18</v>
      <v>18</v>
      <v>4</v>
      <v>19</v>
      <v>9</v>
    </spb>
    <spb s="5">
      <v xml:space="preserve">desde el cierre anterior </v>
      <v>Retrasado 20 minutos</v>
      <v xml:space="preserve">desde el cierre anterior </v>
      <v>KSE</v>
      <v>GMT</v>
    </spb>
    <spb s="27">
      <v>1</v>
      <v>1</v>
      <v>2</v>
      <v>2</v>
      <v>2</v>
      <v>3</v>
      <v>2</v>
      <v>4</v>
      <v>2</v>
      <v>4</v>
      <v>5</v>
      <v>2</v>
      <v>4</v>
      <v>6</v>
      <v>2</v>
      <v>2</v>
      <v>4</v>
      <v>8</v>
      <v>9</v>
    </spb>
    <spb s="4">
      <v>1</v>
      <v>1</v>
      <v>20</v>
      <v>20</v>
      <v>20</v>
      <v>3</v>
      <v>20</v>
      <v>4</v>
      <v>20</v>
      <v>4</v>
      <v>5</v>
      <v>20</v>
      <v>4</v>
      <v>6</v>
      <v>7</v>
      <v>20</v>
      <v>20</v>
      <v>4</v>
      <v>8</v>
      <v>9</v>
    </spb>
    <spb s="27">
      <v>1</v>
      <v>1</v>
      <v>13</v>
      <v>13</v>
      <v>13</v>
      <v>3</v>
      <v>13</v>
      <v>4</v>
      <v>13</v>
      <v>4</v>
      <v>5</v>
      <v>13</v>
      <v>4</v>
      <v>6</v>
      <v>13</v>
      <v>13</v>
      <v>4</v>
      <v>14</v>
      <v>9</v>
    </spb>
    <spb s="5">
      <v xml:space="preserve">desde el cierre anterior </v>
      <v>Retrasado 15 minutos</v>
      <v xml:space="preserve">desde el cierre anterior </v>
      <v>Borsa Italia</v>
      <v>GMT</v>
    </spb>
    <spb s="28">
      <v>P/E</v>
      <v>Beta</v>
      <v>Change</v>
      <v>Currency</v>
      <v>High</v>
      <v>Low</v>
      <v>Name</v>
      <v>Price</v>
      <v>Industry</v>
      <v>Volume</v>
      <v>Open</v>
      <v>Change (%)</v>
      <v>ExchangeID</v>
      <v>UniqueName</v>
      <v>Description</v>
      <v>Exchange</v>
      <v>Headquarters</v>
      <v>%ProviderInfo</v>
      <v>Official name</v>
      <v>Previous close</v>
      <v>LearnMoreOnLink</v>
      <v>Ticker symbol</v>
      <v>Volume average</v>
      <v>Year incorporated</v>
      <v>Instrument type</v>
      <v>52 week high</v>
      <v>52 week low</v>
      <v>Shares outstanding</v>
      <v>Market cap</v>
      <v>Exchange abbreviation</v>
      <v>Last trade time</v>
    </spb>
    <spb s="1">
      <v>9</v>
      <v>Name</v>
      <v>LearnMoreOnLink</v>
    </spb>
    <spb s="29">
      <v>1</v>
      <v>1</v>
      <v>10</v>
      <v>10</v>
      <v>10</v>
      <v>3</v>
      <v>10</v>
      <v>4</v>
      <v>10</v>
      <v>5</v>
      <v>10</v>
      <v>4</v>
      <v>6</v>
      <v>7</v>
      <v>10</v>
      <v>10</v>
      <v>4</v>
      <v>11</v>
      <v>9</v>
    </spb>
  </spbData>
</supportingPropertyBags>
</file>

<file path=xl/richData/rdsupportingpropertybagstructure.xml><?xml version="1.0" encoding="utf-8"?>
<spbStructures xmlns="http://schemas.microsoft.com/office/spreadsheetml/2017/richdata2" count="30">
  <s>
    <k n="P/I" t="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Order" t="spba"/>
    <k n="TitleProperty" t="s"/>
    <k n="SubTitleProperty" t="s"/>
  </s>
  <s>
    <k n="ShowInCardView" t="b"/>
    <k n="ShowInDotNotation" t="b"/>
    <k n="ShowInAutoComplete" t="b"/>
  </s>
  <s>
    <k n="ExchangeID" t="spb"/>
    <k n="UniqueName" t="spb"/>
    <k n="`%ProviderInfo" t="spb"/>
    <k n="LearnMoreOnLink" t="spb"/>
  </s>
  <s>
    <k n="P/I" t="i"/>
    <k n="Beta" t="i"/>
    <k n="Cambio"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pitalización de mercado" t="i"/>
    <k n="Hora de la última operación" t="i"/>
  </s>
  <s>
    <k n="Cambio" t="s"/>
    <k n="Precio" t="s"/>
    <k n="Cambio (%)" t="s"/>
    <k n="ExchangeID" t="s"/>
    <k n="Hora de la última operación" t="s"/>
  </s>
  <s>
    <k n="Beta" t="s"/>
    <k n="Cambio" t="s"/>
    <k n="Moneda" t="s"/>
    <k n="Máximo" t="s"/>
    <k n="Mínimo" t="s"/>
    <k n="Nombre" t="s"/>
    <k n="Precio" t="s"/>
    <k n="Sector" t="s"/>
    <k n="Volumen" t="s"/>
    <k n="Apertura"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Beta" t="i"/>
    <k n="Cambio" t="i"/>
    <k n="Máximo" t="i"/>
    <k n="Mínimo" t="i"/>
    <k n="Nombre" t="i"/>
    <k n="Precio" t="i"/>
    <k n="Volumen" t="i"/>
    <k n="Apertura" t="i"/>
    <k n="Cambio (%)" t="i"/>
    <k n="Cierre anterior" t="i"/>
    <k n="Volumen promedio" t="i"/>
    <k n="`%EntityServiceId" t="i"/>
    <k n="Año de constitución" t="i"/>
    <k n="Máximo en 52 semanas" t="i"/>
    <k n="Mínimo en 52 semanas" t="i"/>
    <k n="Acciones en circulación" t="i"/>
    <k n="Capitalización de mercado" t="i"/>
    <k n="Hora de la última operación" t="i"/>
  </s>
  <s>
    <k n="Cambio" t="s"/>
    <k n="Precio" t="s"/>
    <k n="Cambio (%)" t="s"/>
    <k n="Hora de la última operación" t="s"/>
  </s>
  <s>
    <k n="P/I" t="s"/>
    <k n="Beta" t="s"/>
    <k n="Cambio" t="s"/>
    <k n="Imagen"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ShowInDotNotation" t="b"/>
    <k n="ShowInAutoComplete" t="b"/>
  </s>
  <s>
    <k n="Imagen" t="spb"/>
    <k n="ExchangeID" t="spb"/>
    <k n="UniqueName" t="spb"/>
    <k n="`%ProviderInfo" t="spb"/>
    <k n="LearnMoreOnLink" t="spb"/>
  </s>
  <s>
    <k n="P/I" t="i"/>
    <k n="Beta" t="i"/>
    <k n="Cambio" t="i"/>
    <k n="Imagen"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pitalización de mercado" t="i"/>
    <k n="Hora de la última operación" t="i"/>
  </s>
  <s>
    <k n="name" t="s"/>
  </s>
  <s>
    <k n="P/I" t="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pitalización de mercado" t="s"/>
    <k n="Precio (horario ampliado)" t="s"/>
    <k n="Abreviatura de intercambio" t="s"/>
    <k n="Hora de la última operación" t="s"/>
  </s>
  <s>
    <k n="P/I" t="i"/>
    <k n="Beta" t="i"/>
    <k n="Cambio"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pitalización de mercado" t="i"/>
    <k n="Precio (horario ampliado)" t="i"/>
    <k n="Hora de la última operación" t="i"/>
  </s>
  <s>
    <k n="Cambio" t="s"/>
    <k n="Precio" t="s"/>
    <k n="Cambio (%)" t="s"/>
    <k n="ExchangeID" t="s"/>
    <k n="Precio (horario ampliado)" t="s"/>
    <k n="Hora de la última operación" t="s"/>
  </s>
  <s>
    <k n="P/I" t="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Order" t="spba"/>
    <k n="TitleProperty" t="s"/>
  </s>
  <s>
    <k n="ExchangeID" t="spb"/>
    <k n="UniqueName" t="spb"/>
    <k n="`%ProviderInfo" t="spb"/>
  </s>
  <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Beta" t="i"/>
    <k n="Cambio" t="i"/>
    <k n="Máximo" t="i"/>
    <k n="Mínimo" t="i"/>
    <k n="Nombre" t="i"/>
    <k n="Precio" t="i"/>
    <k n="Volumen" t="i"/>
    <k n="Apertura" t="i"/>
    <k n="Empleados" t="i"/>
    <k n="Cambio (%)" t="i"/>
    <k n="Cierre anterior" t="i"/>
    <k n="Volumen promedio" t="i"/>
    <k n="`%EntityServiceId" t="i"/>
    <k n="Año de constitución" t="i"/>
    <k n="Máximo en 52 semanas" t="i"/>
    <k n="Mínimo en 52 semanas" t="i"/>
    <k n="Acciones en circulación" t="i"/>
    <k n="Capitalización de mercado" t="i"/>
    <k n="Hora de la última operación" t="i"/>
  </s>
  <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Cambio" t="s"/>
    <k n="Cambio (%)" t="s"/>
    <k n="Hora de la última operación" t="s"/>
  </s>
  <s>
    <k n="P/I" t="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Acciones en circulación" t="s"/>
    <k n="Capitalización de mercado" t="s"/>
    <k n="Abreviatura de intercambio" t="s"/>
    <k n="Hora de la última operación" t="s"/>
  </s>
  <s>
    <k n="P/I" t="i"/>
    <k n="Beta" t="i"/>
    <k n="Cambio" t="i"/>
    <k n="Máximo" t="i"/>
    <k n="Mínimo" t="i"/>
    <k n="Nombre" t="i"/>
    <k n="Precio" t="i"/>
    <k n="Volumen" t="i"/>
    <k n="Apertura" t="i"/>
    <k n="Empleados" t="i"/>
    <k n="Cambio (%)" t="i"/>
    <k n="Cierre anterior" t="i"/>
    <k n="Volumen promedio" t="i"/>
    <k n="`%EntityServiceId" t="i"/>
    <k n="Año de constitución" t="i"/>
    <k n="Acciones en circulación" t="i"/>
    <k n="Capitalización de mercado" t="i"/>
    <k n="Hora de la última operación" t="i"/>
  </s>
  <s>
    <k n="P/I" t="s"/>
    <k n="Beta" t="s"/>
    <k n="Cambio" t="s"/>
    <k n="Moneda" t="s"/>
    <k n="Máximo" t="s"/>
    <k n="Mínimo" t="s"/>
    <k n="Nombre" t="s"/>
    <k n="Precio" t="s"/>
    <k n="Sector" t="s"/>
    <k n="Volumen" t="s"/>
    <k n="Apertura" t="s"/>
    <k n="Empleados" t="s"/>
    <k n="Cambio (%)" t="s"/>
    <k n="ExchangeID" t="s"/>
    <k n="UniqueName" t="s"/>
    <k n="Descripción" t="s"/>
    <k n="Intercambio" t="s"/>
    <k n="Sede central" t="s"/>
    <k n="%ProviderInfo" t="s"/>
    <k n="Nombre oficial" t="s"/>
    <k n="Cierre anterior" t="s"/>
    <k n="LearnMoreOnLink" t="s"/>
    <k n="Símbolo bursátil" t="s"/>
    <k n="Volumen promedio" t="s"/>
    <k n="Tipo de instrumento" t="s"/>
    <k n="Máximo en 52 semanas" t="s"/>
    <k n="Mínimo en 52 semanas" t="s"/>
    <k n="Acciones en circulación" t="s"/>
    <k n="Capitalización de mercado" t="s"/>
    <k n="Abreviatura de intercambio" t="s"/>
    <k n="Hora de la última operación" t="s"/>
  </s>
  <s>
    <k n="P/I" t="i"/>
    <k n="Beta" t="i"/>
    <k n="Cambio" t="i"/>
    <k n="Máximo" t="i"/>
    <k n="Mínimo" t="i"/>
    <k n="Nombre" t="i"/>
    <k n="Precio" t="i"/>
    <k n="Volumen" t="i"/>
    <k n="Apertura" t="i"/>
    <k n="Empleados" t="i"/>
    <k n="Cambio (%)" t="i"/>
    <k n="Cierre anterior" t="i"/>
    <k n="Volumen promedio" t="i"/>
    <k n="`%EntityServiceId" t="i"/>
    <k n="Máximo en 52 semanas" t="i"/>
    <k n="Mínimo en 52 semanas" t="i"/>
    <k n="Acciones en circulación" t="i"/>
    <k n="Capitalización de mercado" t="i"/>
    <k n="Hora de la última operación" t="i"/>
  </s>
  <s>
    <k n="P/I" t="s"/>
    <k n="Beta" t="s"/>
    <k n="Cambio" t="s"/>
    <k n="Moneda" t="s"/>
    <k n="Máximo" t="s"/>
    <k n="Mínimo" t="s"/>
    <k n="Nombre" t="s"/>
    <k n="Precio" t="s"/>
    <k n="Sector" t="s"/>
    <k n="Volumen" t="s"/>
    <k n="Apertura" t="s"/>
    <k n="Cambio (%)" t="s"/>
    <k n="ExchangeID" t="s"/>
    <k n="UniqueName" t="s"/>
    <k n="Descripción" t="s"/>
    <k n="Intercambio" t="s"/>
    <k n="Sede central" t="s"/>
    <k n="%ProviderInfo" t="s"/>
    <k n="Nombre oficial" t="s"/>
    <k n="Cierre anterior" t="s"/>
    <k n="LearnMoreOnLink" t="s"/>
    <k n="Símbolo bursátil" t="s"/>
    <k n="Volumen promedio" t="s"/>
    <k n="Año de constitución" t="s"/>
    <k n="Tipo de instrumento" t="s"/>
    <k n="Máximo en 52 semanas" t="s"/>
    <k n="Mínimo en 52 semanas" t="s"/>
    <k n="Acciones en circulación" t="s"/>
    <k n="Capitalización de mercado" t="s"/>
    <k n="Abreviatura de intercambio" t="s"/>
    <k n="Hora de la última operación" t="s"/>
  </s>
  <s>
    <k n="P/I" t="i"/>
    <k n="Beta" t="i"/>
    <k n="Cambio" t="i"/>
    <k n="Máximo" t="i"/>
    <k n="Mínimo" t="i"/>
    <k n="Nombre" t="i"/>
    <k n="Precio" t="i"/>
    <k n="Volumen" t="i"/>
    <k n="Apertura" t="i"/>
    <k n="Cambio (%)" t="i"/>
    <k n="Cierre anterior" t="i"/>
    <k n="Volumen promedio" t="i"/>
    <k n="`%EntityServiceId" t="i"/>
    <k n="Año de constitución" t="i"/>
    <k n="Máximo en 52 semanas" t="i"/>
    <k n="Mínimo en 52 semanas" t="i"/>
    <k n="Acciones en circulación" t="i"/>
    <k n="Capitalización de mercado" t="i"/>
    <k n="Hora de la última operación"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dd/mm/yyyy\ h:mm"/>
    </x:dxf>
    <x:dxf>
      <x:numFmt numFmtId="14" formatCode="0.00%"/>
    </x:dxf>
    <x:dxf>
      <x:numFmt numFmtId="3" formatCode="#,##0"/>
    </x:dxf>
    <x:dxf>
      <x:numFmt numFmtId="4" formatCode="#,##0.00"/>
    </x:dxf>
    <x:dxf>
      <x:numFmt numFmtId="1" formatCode="0"/>
    </x:dxf>
    <x:dxf>
      <x:numFmt numFmtId="19" formatCode="dd/mm/yyyy"/>
    </x:dxf>
  </dxfs>
  <richProperties>
    <rPr n="NumberFormat" t="s"/>
    <rPr n="IsTitleField" t="b"/>
    <rPr n="IsHeroField" t="b"/>
  </richProperties>
  <richStyles>
    <rSty dxfid="5">
      <rpv i="0">#,##0.00</rpv>
    </rSty>
    <rSty dxfid="1">
      <rpv i="0">_([$$-en-US]* #,##0.00_);_([$$-en-US]* (#,##0.00);_([$$-en-US]* "-"??_);_(@_)</rpv>
    </rSty>
    <rSty>
      <rpv i="1">1</rpv>
    </rSty>
    <rSty dxfid="4">
      <rpv i="0">#,##0</rpv>
    </rSty>
    <rSty dxfid="3"/>
    <rSty dxfid="0">
      <rpv i="0">0.00</rpv>
    </rSty>
    <rSty dxfid="6">
      <rpv i="0">0</rpv>
    </rSty>
    <rSty dxfid="1">
      <rpv i="0">_([$$-en-US]* #,##0_);_([$$-en-US]* (#,##0);_([$$-en-US]* "-"_);_(@_)</rpv>
    </rSty>
    <rSty dxfid="2"/>
    <rSty dxfid="1">
      <rpv i="0">_-[$$-en-CA]* #,##0.00_-;-[$$-en-CA]* #,##0.00_-;_-[$$-en-CA]* "-"??_-;_-@_-</rpv>
    </rSty>
    <rSty dxfid="1">
      <rpv i="0">_-[$$-en-CA]* #,##0_-;-[$$-en-CA]* #,##0_-;_-[$$-en-CA]* "-"_-;_-@_-</rpv>
    </rSty>
    <rSty>
      <rpv i="2">1</rpv>
    </rSty>
    <rSty dxfid="1">
      <rpv i="0">_([$€-x-euro2] * #,##0.00_);_([$€-x-euro2] * (#,##0.00);_([$€-x-euro2] * "-"??_);_(@_)</rpv>
    </rSty>
    <rSty dxfid="1">
      <rpv i="0">_([$€-x-euro2] * #,##0_);_([$€-x-euro2] * (#,##0);_([$€-x-euro2] * "-"_);_(@_)</rpv>
    </rSty>
    <rSty dxfid="7"/>
    <rSty dxfid="1">
      <rpv i="0">_-[$₱-en-PH]* #,##0.00_-;-[$₱-en-PH]* #,##0.00_-;_-[$₱-en-PH]* "-"??_-;_-@_-</rpv>
    </rSty>
    <rSty dxfid="1">
      <rpv i="0">_-[$₱-en-PH]* #,##0_-;-[$₱-en-PH]* #,##0_-;_-[$₱-en-PH]* "-"_-;_-@_-</rpv>
    </rSty>
    <rSty dxfid="1">
      <rpv i="0">_-[$₩-ko-KR]* #,##0.00_-;-[$₩-ko-KR]* #,##0.00_-;_-[$₩-ko-KR]* "-"??_-;_-@_-</rpv>
    </rSty>
    <rSty dxfid="1">
      <rpv i="0">_-[$₩-ko-KR]* #,##0_-;-[$₩-ko-KR]* #,##0_-;_-[$₩-ko-KR]* "-"_-;_-@_-</rpv>
    </rSty>
    <rSty dxfid="1">
      <rpv i="0">_-[$$-en-HK]* #,##0.00_-;-[$$-en-HK]* #,##0.00_-;_-[$$-en-HK]* "-"??_-;_-@_-</rpv>
    </rSty>
  </richStyles>
</richStyleShee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84" dT="2026-03-26T16:24:38.61" personId="{3EA32AB0-9C3E-47C2-8A06-41F43FED5073}" id="{A541AB76-C02B-4A3B-9CAC-5AA36DF750D0}">
    <text>Source: Data compiled from SEC EDGAR filings (10-K/10-Q), company investor relations pages, and official earnings releases for FY2024/FY2025. Key sources include: investors.fico.com, investors.adyen.com, ir.msci.com, investors.applovin.com, investors.seagate.com, ir.crowdstrike.com, ropertech.com, cmegroup.com, and respective company IR pages. Data as of most recent fiscal year available (2024-2025). Some metrics are approximations from publicly available data.</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13"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490E20B-0C4A-4630-A4C9-C0717196F0B5}">
  <we:reference id="wa200009404" version="1.0.0.5" store="en-US" storeType="OMEX"/>
  <we:alternateReferences>
    <we:reference id="wa200009404" version="1.0.0.5"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397EE-88DC-4D8E-9E20-70DBD34C292A}">
  <sheetPr>
    <tabColor rgb="FF70AD47"/>
  </sheetPr>
  <dimension ref="A1:BM110"/>
  <sheetViews>
    <sheetView tabSelected="1" topLeftCell="A82" workbookViewId="0">
      <pane xSplit="1" topLeftCell="BF1" activePane="topRight" state="frozen"/>
      <selection pane="topRight" activeCell="BC91" sqref="BC91"/>
    </sheetView>
  </sheetViews>
  <sheetFormatPr baseColWidth="10" defaultRowHeight="14.6" x14ac:dyDescent="0.4"/>
  <cols>
    <col min="1" max="1" width="20.53515625" customWidth="1"/>
    <col min="2" max="2" width="25.15234375" customWidth="1"/>
    <col min="3" max="3" width="24.23046875" customWidth="1"/>
    <col min="50" max="50" width="46.07421875" bestFit="1" customWidth="1"/>
    <col min="51" max="51" width="18.69140625" style="37" customWidth="1"/>
    <col min="52" max="52" width="14.4609375" style="37" bestFit="1" customWidth="1"/>
    <col min="53" max="53" width="11.07421875" style="37"/>
    <col min="54" max="54" width="13.3046875" style="37" bestFit="1" customWidth="1"/>
    <col min="55" max="56" width="15.3046875" bestFit="1" customWidth="1"/>
    <col min="64" max="64" width="13.53515625" bestFit="1" customWidth="1"/>
    <col min="65" max="65" width="16.4609375" bestFit="1" customWidth="1"/>
  </cols>
  <sheetData>
    <row r="1" spans="1:65" ht="18.45" x14ac:dyDescent="0.5">
      <c r="A1" s="67" t="s">
        <v>71</v>
      </c>
      <c r="B1" s="67"/>
      <c r="V1" s="69" t="s">
        <v>102</v>
      </c>
      <c r="W1" s="69"/>
      <c r="X1" s="69"/>
      <c r="AN1" s="68" t="s">
        <v>72</v>
      </c>
      <c r="AO1" s="68"/>
      <c r="AT1" s="7" t="s">
        <v>73</v>
      </c>
      <c r="AU1" s="70">
        <v>-1.8000000000000002E-2</v>
      </c>
      <c r="AV1" s="70"/>
      <c r="AW1" s="70"/>
      <c r="AY1" s="14" t="s">
        <v>130</v>
      </c>
    </row>
    <row r="2" spans="1:65" x14ac:dyDescent="0.4">
      <c r="A2" s="3" t="s">
        <v>103</v>
      </c>
      <c r="AZ2" s="56" t="s">
        <v>281</v>
      </c>
      <c r="BA2" s="56" t="s">
        <v>278</v>
      </c>
      <c r="BD2" s="47" t="s">
        <v>254</v>
      </c>
      <c r="BG2" s="65" t="s">
        <v>255</v>
      </c>
      <c r="BH2" s="65"/>
      <c r="BJ2" s="47" t="s">
        <v>256</v>
      </c>
      <c r="BK2" s="66" t="s">
        <v>266</v>
      </c>
      <c r="BL2" s="66"/>
      <c r="BM2" s="66"/>
    </row>
    <row r="3" spans="1:65" x14ac:dyDescent="0.4">
      <c r="A3" s="5" t="s">
        <v>1</v>
      </c>
      <c r="B3" s="5" t="s">
        <v>40</v>
      </c>
      <c r="C3" s="8" t="s">
        <v>75</v>
      </c>
      <c r="D3" s="8" t="s">
        <v>2</v>
      </c>
      <c r="E3" s="8" t="s">
        <v>76</v>
      </c>
      <c r="F3" s="8" t="s">
        <v>104</v>
      </c>
      <c r="G3" s="8" t="s">
        <v>105</v>
      </c>
      <c r="H3" s="8" t="s">
        <v>106</v>
      </c>
      <c r="I3" s="8" t="s">
        <v>107</v>
      </c>
      <c r="J3" s="8" t="s">
        <v>108</v>
      </c>
      <c r="K3" s="8" t="s">
        <v>109</v>
      </c>
      <c r="L3" s="8" t="s">
        <v>110</v>
      </c>
      <c r="M3" s="8" t="s">
        <v>111</v>
      </c>
      <c r="N3" s="8" t="s">
        <v>77</v>
      </c>
      <c r="O3" s="8" t="s">
        <v>112</v>
      </c>
      <c r="P3" s="8" t="s">
        <v>113</v>
      </c>
      <c r="Q3" s="8" t="s">
        <v>114</v>
      </c>
      <c r="R3" s="8" t="s">
        <v>78</v>
      </c>
      <c r="S3" s="8" t="s">
        <v>115</v>
      </c>
      <c r="T3" s="8" t="s">
        <v>116</v>
      </c>
      <c r="U3" s="9" t="s">
        <v>79</v>
      </c>
      <c r="V3" s="9" t="s">
        <v>26</v>
      </c>
      <c r="W3" s="9" t="s">
        <v>80</v>
      </c>
      <c r="X3" s="9" t="s">
        <v>27</v>
      </c>
      <c r="Y3" s="9" t="s">
        <v>81</v>
      </c>
      <c r="Z3" s="9" t="s">
        <v>28</v>
      </c>
      <c r="AA3" s="9" t="s">
        <v>29</v>
      </c>
      <c r="AB3" s="9" t="s">
        <v>30</v>
      </c>
      <c r="AC3" s="9" t="s">
        <v>31</v>
      </c>
      <c r="AD3" s="9" t="s">
        <v>82</v>
      </c>
      <c r="AE3" s="9" t="s">
        <v>83</v>
      </c>
      <c r="AF3" s="9" t="s">
        <v>84</v>
      </c>
      <c r="AG3" s="9" t="s">
        <v>85</v>
      </c>
      <c r="AH3" s="9" t="s">
        <v>86</v>
      </c>
      <c r="AI3" s="9" t="s">
        <v>87</v>
      </c>
      <c r="AJ3" s="9" t="s">
        <v>88</v>
      </c>
      <c r="AK3" s="9" t="s">
        <v>89</v>
      </c>
      <c r="AL3" s="9" t="s">
        <v>90</v>
      </c>
      <c r="AM3" s="10" t="s">
        <v>32</v>
      </c>
      <c r="AN3" s="10" t="s">
        <v>33</v>
      </c>
      <c r="AO3" s="10" t="s">
        <v>34</v>
      </c>
      <c r="AP3" s="10" t="s">
        <v>35</v>
      </c>
      <c r="AQ3" s="10" t="s">
        <v>185</v>
      </c>
      <c r="AR3" s="10" t="s">
        <v>91</v>
      </c>
      <c r="AS3" s="11" t="s">
        <v>36</v>
      </c>
      <c r="AT3" s="13" t="s">
        <v>131</v>
      </c>
      <c r="AU3" s="13" t="s">
        <v>132</v>
      </c>
      <c r="AV3" s="13" t="s">
        <v>133</v>
      </c>
      <c r="AW3" s="13" t="s">
        <v>134</v>
      </c>
      <c r="AX3" s="48" t="s">
        <v>135</v>
      </c>
      <c r="AY3" s="14" t="s">
        <v>184</v>
      </c>
      <c r="AZ3" s="14" t="s">
        <v>136</v>
      </c>
      <c r="BA3" s="54" t="s">
        <v>280</v>
      </c>
      <c r="BB3" s="14" t="s">
        <v>137</v>
      </c>
      <c r="BD3" s="48" t="s">
        <v>257</v>
      </c>
      <c r="BE3" s="48" t="s">
        <v>258</v>
      </c>
      <c r="BF3" s="48" t="s">
        <v>259</v>
      </c>
      <c r="BG3" s="48" t="s">
        <v>260</v>
      </c>
      <c r="BH3" s="48" t="s">
        <v>261</v>
      </c>
      <c r="BI3" s="48" t="s">
        <v>262</v>
      </c>
      <c r="BJ3" s="48" t="s">
        <v>263</v>
      </c>
      <c r="BK3" s="48" t="s">
        <v>264</v>
      </c>
      <c r="BL3" s="48" t="s">
        <v>265</v>
      </c>
      <c r="BM3" s="36" t="s">
        <v>325</v>
      </c>
    </row>
    <row r="4" spans="1:65" x14ac:dyDescent="0.4">
      <c r="A4" t="s">
        <v>3</v>
      </c>
      <c r="B4" t="s">
        <v>44</v>
      </c>
      <c r="C4" s="1">
        <v>0.9</v>
      </c>
      <c r="D4" s="1">
        <v>0.75</v>
      </c>
      <c r="E4" s="1">
        <v>0.55000000000000004</v>
      </c>
      <c r="F4" s="1">
        <v>0.94</v>
      </c>
      <c r="G4" s="1">
        <v>1.2</v>
      </c>
      <c r="H4" s="33">
        <v>2.1</v>
      </c>
      <c r="I4" s="33">
        <v>-1.5</v>
      </c>
      <c r="J4" s="33">
        <v>4.2</v>
      </c>
      <c r="K4" s="34">
        <v>50</v>
      </c>
      <c r="L4" s="18">
        <v>0.31</v>
      </c>
      <c r="M4" s="33">
        <v>1.1499999999999999</v>
      </c>
      <c r="N4" s="18">
        <v>0.04</v>
      </c>
      <c r="O4" s="33">
        <v>32</v>
      </c>
      <c r="P4" s="33">
        <v>28</v>
      </c>
      <c r="Q4" s="33">
        <v>40</v>
      </c>
      <c r="R4" s="18">
        <v>2.9999999999999997E-4</v>
      </c>
      <c r="S4" s="18">
        <v>0.01</v>
      </c>
      <c r="T4" s="18">
        <v>0.01</v>
      </c>
      <c r="U4">
        <f t="shared" ref="U4:U38" si="0">IF(OR($B4="",C4=""),"",IF(ISERROR(MATCH($B4,GP_ROE_Sectors,0)),0,IF(C4&gt;=INDEX(GP_ROE_T,MATCH($B4,GP_ROE_Sectors,0),1),INDEX(GP_ROE_T,MATCH($B4,GP_ROE_Sectors,0),2),IF(C4&gt;=INDEX(GP_ROE_T,MATCH($B4,GP_ROE_Sectors,0),3),INDEX(GP_ROE_T,MATCH($B4,GP_ROE_Sectors,0),4),IF(C4&gt;=INDEX(GP_ROE_T,MATCH($B4,GP_ROE_Sectors,0),5),INDEX(GP_ROE_T,MATCH($B4,GP_ROE_Sectors,0),6),IF(C4&gt;=INDEX(GP_ROE_T,MATCH($B4,GP_ROE_Sectors,0),7),INDEX(GP_ROE_T,MATCH($B4,GP_ROE_Sectors,0),8),IF(C4&gt;=INDEX(GP_ROE_T,MATCH($B4,GP_ROE_Sectors,0),9),INDEX(GP_ROE_T,MATCH($B4,GP_ROE_Sectors,0),10),IF(C4&gt;=INDEX(GP_ROE_T,MATCH($B4,GP_ROE_Sectors,0),11),INDEX(GP_ROE_T,MATCH($B4,GP_ROE_Sectors,0),12),0))))))))</f>
        <v>100</v>
      </c>
      <c r="V4">
        <f t="shared" ref="V4:V38" si="1">IF(OR($B4="",D4=""),"",IF(ISERROR(MATCH($B4,GP_ROIC_Sectors,0)),0,IF(D4&gt;=INDEX(GP_ROIC_T,MATCH($B4,GP_ROIC_Sectors,0),1),INDEX(GP_ROIC_T,MATCH($B4,GP_ROIC_Sectors,0),2),IF(D4&gt;=INDEX(GP_ROIC_T,MATCH($B4,GP_ROIC_Sectors,0),3),INDEX(GP_ROIC_T,MATCH($B4,GP_ROIC_Sectors,0),4),IF(D4&gt;=INDEX(GP_ROIC_T,MATCH($B4,GP_ROIC_Sectors,0),5),INDEX(GP_ROIC_T,MATCH($B4,GP_ROIC_Sectors,0),6),IF(D4&gt;=INDEX(GP_ROIC_T,MATCH($B4,GP_ROIC_Sectors,0),7),INDEX(GP_ROIC_T,MATCH($B4,GP_ROIC_Sectors,0),8),IF(D4&gt;=INDEX(GP_ROIC_T,MATCH($B4,GP_ROIC_Sectors,0),9),INDEX(GP_ROIC_T,MATCH($B4,GP_ROIC_Sectors,0),10),IF(D4&gt;=INDEX(GP_ROIC_T,MATCH($B4,GP_ROIC_Sectors,0),11),INDEX(GP_ROIC_T,MATCH($B4,GP_ROIC_Sectors,0),12),0))))))))</f>
        <v>100</v>
      </c>
      <c r="W4">
        <f t="shared" ref="W4:W38" si="2">IF(OR($B4="",E4=""),"",IF(ISERROR(MATCH($B4,GP_NM_Sectors,0)),0,IF(E4&gt;=INDEX(GP_NM_T,MATCH($B4,GP_NM_Sectors,0),1),INDEX(GP_NM_T,MATCH($B4,GP_NM_Sectors,0),2),IF(E4&gt;=INDEX(GP_NM_T,MATCH($B4,GP_NM_Sectors,0),3),INDEX(GP_NM_T,MATCH($B4,GP_NM_Sectors,0),4),IF(E4&gt;=INDEX(GP_NM_T,MATCH($B4,GP_NM_Sectors,0),5),INDEX(GP_NM_T,MATCH($B4,GP_NM_Sectors,0),6),IF(E4&gt;=INDEX(GP_NM_T,MATCH($B4,GP_NM_Sectors,0),7),INDEX(GP_NM_T,MATCH($B4,GP_NM_Sectors,0),8),IF(E4&gt;=INDEX(GP_NM_T,MATCH($B4,GP_NM_Sectors,0),9),INDEX(GP_NM_T,MATCH($B4,GP_NM_Sectors,0),10),IF(E4&gt;=INDEX(GP_NM_T,MATCH($B4,GP_NM_Sectors,0),11),INDEX(GP_NM_T,MATCH($B4,GP_NM_Sectors,0),12),0))))))))</f>
        <v>100</v>
      </c>
      <c r="X4">
        <f t="shared" ref="X4:X38" si="3">IF(OR($B4="",F4=""),"",IF(ISERROR(MATCH($B4,GP_RG_Sectors,0)),0,IF(F4&gt;=INDEX(GP_RG_T,MATCH($B4,GP_RG_Sectors,0),1),INDEX(GP_RG_T,MATCH($B4,GP_RG_Sectors,0),2),IF(F4&gt;=INDEX(GP_RG_T,MATCH($B4,GP_RG_Sectors,0),3),INDEX(GP_RG_T,MATCH($B4,GP_RG_Sectors,0),4),IF(F4&gt;=INDEX(GP_RG_T,MATCH($B4,GP_RG_Sectors,0),5),INDEX(GP_RG_T,MATCH($B4,GP_RG_Sectors,0),6),IF(F4&gt;=INDEX(GP_RG_T,MATCH($B4,GP_RG_Sectors,0),7),INDEX(GP_RG_T,MATCH($B4,GP_RG_Sectors,0),8),IF(F4&gt;=INDEX(GP_RG_T,MATCH($B4,GP_RG_Sectors,0),9),INDEX(GP_RG_T,MATCH($B4,GP_RG_Sectors,0),10),IF(F4&gt;=INDEX(GP_RG_T,MATCH($B4,GP_RG_Sectors,0),11),INDEX(GP_RG_T,MATCH($B4,GP_RG_Sectors,0),12),0))))))))</f>
        <v>100</v>
      </c>
      <c r="Y4">
        <f t="shared" ref="Y4:Y38" si="4">IF(OR($B4="",G4=""),"",IF(ISERROR(MATCH($B4,GP_EG_Sectors,0)),0,IF(G4&gt;=INDEX(GP_EG_T,MATCH($B4,GP_EG_Sectors,0),1),INDEX(GP_EG_T,MATCH($B4,GP_EG_Sectors,0),2),IF(G4&gt;=INDEX(GP_EG_T,MATCH($B4,GP_EG_Sectors,0),3),INDEX(GP_EG_T,MATCH($B4,GP_EG_Sectors,0),4),IF(G4&gt;=INDEX(GP_EG_T,MATCH($B4,GP_EG_Sectors,0),5),INDEX(GP_EG_T,MATCH($B4,GP_EG_Sectors,0),6),IF(G4&gt;=INDEX(GP_EG_T,MATCH($B4,GP_EG_Sectors,0),7),INDEX(GP_EG_T,MATCH($B4,GP_EG_Sectors,0),8),IF(G4&gt;=INDEX(GP_EG_T,MATCH($B4,GP_EG_Sectors,0),9),INDEX(GP_EG_T,MATCH($B4,GP_EG_Sectors,0),10),IF(G4&gt;=INDEX(GP_EG_T,MATCH($B4,GP_EG_Sectors,0),11),INDEX(GP_EG_T,MATCH($B4,GP_EG_Sectors,0),12),0))))))))</f>
        <v>100</v>
      </c>
      <c r="Z4">
        <f t="shared" ref="Z4:Z38" si="5">IF(OR($B4="",H4=""),"",IF(ISERROR(MATCH($B4,GP_OL_Sectors,0)),0,IF(H4&gt;=INDEX(GP_OL_T,MATCH($B4,GP_OL_Sectors,0),1),INDEX(GP_OL_T,MATCH($B4,GP_OL_Sectors,0),2),IF(H4&gt;=INDEX(GP_OL_T,MATCH($B4,GP_OL_Sectors,0),3),INDEX(GP_OL_T,MATCH($B4,GP_OL_Sectors,0),4),IF(H4&gt;=INDEX(GP_OL_T,MATCH($B4,GP_OL_Sectors,0),5),INDEX(GP_OL_T,MATCH($B4,GP_OL_Sectors,0),6),IF(H4&gt;=INDEX(GP_OL_T,MATCH($B4,GP_OL_Sectors,0),7),INDEX(GP_OL_T,MATCH($B4,GP_OL_Sectors,0),8),IF(H4&gt;=INDEX(GP_OL_T,MATCH($B4,GP_OL_Sectors,0),9),INDEX(GP_OL_T,MATCH($B4,GP_OL_Sectors,0),10),IF(H4&gt;=INDEX(GP_OL_T,MATCH($B4,GP_OL_Sectors,0),11),INDEX(GP_OL_T,MATCH($B4,GP_OL_Sectors,0),12),0))))))))</f>
        <v>100</v>
      </c>
      <c r="AA4">
        <f t="shared" ref="AA4:AA38" si="6">IF(OR($B4="",I4=""),"",IF(ISERROR(MATCH($B4,GP_ND_Sectors,0)),0,IF(I4&lt;=INDEX(GP_ND_T,MATCH($B4,GP_ND_Sectors,0),1),INDEX(GP_ND_T,MATCH($B4,GP_ND_Sectors,0),2),IF(I4&lt;=INDEX(GP_ND_T,MATCH($B4,GP_ND_Sectors,0),3),INDEX(GP_ND_T,MATCH($B4,GP_ND_Sectors,0),4),IF(I4&lt;=INDEX(GP_ND_T,MATCH($B4,GP_ND_Sectors,0),5),INDEX(GP_ND_T,MATCH($B4,GP_ND_Sectors,0),6),IF(I4&lt;=INDEX(GP_ND_T,MATCH($B4,GP_ND_Sectors,0),7),INDEX(GP_ND_T,MATCH($B4,GP_ND_Sectors,0),8),IF(I4&lt;=INDEX(GP_ND_T,MATCH($B4,GP_ND_Sectors,0),9),INDEX(GP_ND_T,MATCH($B4,GP_ND_Sectors,0),10),IF(I4&lt;=INDEX(GP_ND_T,MATCH($B4,GP_ND_Sectors,0),11),INDEX(GP_ND_T,MATCH($B4,GP_ND_Sectors,0),12),0))))))))</f>
        <v>100</v>
      </c>
      <c r="AB4">
        <f t="shared" ref="AB4:AB38" si="7">IF(OR($B4="",J4=""),"",IF(ISERROR(MATCH($B4,GP_CR_Sectors,0)),0,IF(J4&gt;=INDEX(GP_CR_T,MATCH($B4,GP_CR_Sectors,0),1),INDEX(GP_CR_T,MATCH($B4,GP_CR_Sectors,0),2),IF(J4&gt;=INDEX(GP_CR_T,MATCH($B4,GP_CR_Sectors,0),3),INDEX(GP_CR_T,MATCH($B4,GP_CR_Sectors,0),4),IF(J4&gt;=INDEX(GP_CR_T,MATCH($B4,GP_CR_Sectors,0),5),INDEX(GP_CR_T,MATCH($B4,GP_CR_Sectors,0),6),IF(J4&gt;=INDEX(GP_CR_T,MATCH($B4,GP_CR_Sectors,0),7),INDEX(GP_CR_T,MATCH($B4,GP_CR_Sectors,0),8),IF(J4&gt;=INDEX(GP_CR_T,MATCH($B4,GP_CR_Sectors,0),9),INDEX(GP_CR_T,MATCH($B4,GP_CR_Sectors,0),10),IF(J4&gt;=INDEX(GP_CR_T,MATCH($B4,GP_CR_Sectors,0),11),INDEX(GP_CR_T,MATCH($B4,GP_CR_Sectors,0),12),0))))))))</f>
        <v>100</v>
      </c>
      <c r="AC4">
        <f t="shared" ref="AC4:AC38" si="8">IF(OR($B4="",K4=""),"",IF(ISERROR(MATCH($B4,GP_IC_Sectors,0)),0,IF(K4&gt;=INDEX(GP_IC_T,MATCH($B4,GP_IC_Sectors,0),1),INDEX(GP_IC_T,MATCH($B4,GP_IC_Sectors,0),2),IF(K4&gt;=INDEX(GP_IC_T,MATCH($B4,GP_IC_Sectors,0),3),INDEX(GP_IC_T,MATCH($B4,GP_IC_Sectors,0),4),IF(K4&gt;=INDEX(GP_IC_T,MATCH($B4,GP_IC_Sectors,0),5),INDEX(GP_IC_T,MATCH($B4,GP_IC_Sectors,0),6),IF(K4&gt;=INDEX(GP_IC_T,MATCH($B4,GP_IC_Sectors,0),7),INDEX(GP_IC_T,MATCH($B4,GP_IC_Sectors,0),8),IF(K4&gt;=INDEX(GP_IC_T,MATCH($B4,GP_IC_Sectors,0),9),INDEX(GP_IC_T,MATCH($B4,GP_IC_Sectors,0),10),IF(K4&gt;=INDEX(GP_IC_T,MATCH($B4,GP_IC_Sectors,0),11),INDEX(GP_IC_T,MATCH($B4,GP_IC_Sectors,0),12),0))))))))</f>
        <v>100</v>
      </c>
      <c r="AD4">
        <f t="shared" ref="AD4:AD38" si="9">IF(OR($B4="",L4=""),"",IF(ISERROR(MATCH($B4,GP_FM_Sectors,0)),0,IF(L4&gt;=INDEX(GP_FM_T,MATCH($B4,GP_FM_Sectors,0),1),INDEX(GP_FM_T,MATCH($B4,GP_FM_Sectors,0),2),IF(L4&gt;=INDEX(GP_FM_T,MATCH($B4,GP_FM_Sectors,0),3),INDEX(GP_FM_T,MATCH($B4,GP_FM_Sectors,0),4),IF(L4&gt;=INDEX(GP_FM_T,MATCH($B4,GP_FM_Sectors,0),5),INDEX(GP_FM_T,MATCH($B4,GP_FM_Sectors,0),6),IF(L4&gt;=INDEX(GP_FM_T,MATCH($B4,GP_FM_Sectors,0),7),INDEX(GP_FM_T,MATCH($B4,GP_FM_Sectors,0),8),IF(L4&gt;=INDEX(GP_FM_T,MATCH($B4,GP_FM_Sectors,0),9),INDEX(GP_FM_T,MATCH($B4,GP_FM_Sectors,0),10),IF(L4&gt;=INDEX(GP_FM_T,MATCH($B4,GP_FM_Sectors,0),11),INDEX(GP_FM_T,MATCH($B4,GP_FM_Sectors,0),12),0))))))))</f>
        <v>100</v>
      </c>
      <c r="AE4">
        <f t="shared" ref="AE4:AE38" si="10">IF(OR($B4="",M4=""),"",IF(ISERROR(MATCH($B4,GP_FN_Sectors,0)),0,IF(M4&gt;=INDEX(GP_FN_T,MATCH($B4,GP_FN_Sectors,0),1),INDEX(GP_FN_T,MATCH($B4,GP_FN_Sectors,0),2),IF(M4&gt;=INDEX(GP_FN_T,MATCH($B4,GP_FN_Sectors,0),3),INDEX(GP_FN_T,MATCH($B4,GP_FN_Sectors,0),4),IF(M4&gt;=INDEX(GP_FN_T,MATCH($B4,GP_FN_Sectors,0),5),INDEX(GP_FN_T,MATCH($B4,GP_FN_Sectors,0),6),IF(M4&gt;=INDEX(GP_FN_T,MATCH($B4,GP_FN_Sectors,0),7),INDEX(GP_FN_T,MATCH($B4,GP_FN_Sectors,0),8),IF(M4&gt;=INDEX(GP_FN_T,MATCH($B4,GP_FN_Sectors,0),9),INDEX(GP_FN_T,MATCH($B4,GP_FN_Sectors,0),10),IF(M4&gt;=INDEX(GP_FN_T,MATCH($B4,GP_FN_Sectors,0),11),INDEX(GP_FN_T,MATCH($B4,GP_FN_Sectors,0),12),0))))))))</f>
        <v>88</v>
      </c>
      <c r="AF4">
        <f t="shared" ref="AF4:AF38" si="11">IF(OR($B4="",N4=""),"",IF(ISERROR(MATCH($B4,GP_CX_Sectors,0)),0,IF(N4&lt;=INDEX(GP_CX_T,MATCH($B4,GP_CX_Sectors,0),1),INDEX(GP_CX_T,MATCH($B4,GP_CX_Sectors,0),2),IF(N4&lt;=INDEX(GP_CX_T,MATCH($B4,GP_CX_Sectors,0),3),INDEX(GP_CX_T,MATCH($B4,GP_CX_Sectors,0),4),IF(N4&lt;=INDEX(GP_CX_T,MATCH($B4,GP_CX_Sectors,0),5),INDEX(GP_CX_T,MATCH($B4,GP_CX_Sectors,0),6),IF(N4&lt;=INDEX(GP_CX_T,MATCH($B4,GP_CX_Sectors,0),7),INDEX(GP_CX_T,MATCH($B4,GP_CX_Sectors,0),8),IF(N4&lt;=INDEX(GP_CX_T,MATCH($B4,GP_CX_Sectors,0),9),INDEX(GP_CX_T,MATCH($B4,GP_CX_Sectors,0),10),IF(N4&lt;=INDEX(GP_CX_T,MATCH($B4,GP_CX_Sectors,0),11),INDEX(GP_CX_T,MATCH($B4,GP_CX_Sectors,0),12),0))))))))</f>
        <v>85</v>
      </c>
      <c r="AG4">
        <f t="shared" ref="AG4:AG38" si="12">IF(OR($B4="",O4=""),"",IF(ISERROR(MATCH($B4,GP_PE_Sectors,0)),0,IF(O4&lt;=INDEX(GP_PE_T,MATCH($B4,GP_PE_Sectors,0),1),INDEX(GP_PE_T,MATCH($B4,GP_PE_Sectors,0),2),IF(O4&lt;=INDEX(GP_PE_T,MATCH($B4,GP_PE_Sectors,0),3),INDEX(GP_PE_T,MATCH($B4,GP_PE_Sectors,0),4),IF(O4&lt;=INDEX(GP_PE_T,MATCH($B4,GP_PE_Sectors,0),5),INDEX(GP_PE_T,MATCH($B4,GP_PE_Sectors,0),6),IF(O4&lt;=INDEX(GP_PE_T,MATCH($B4,GP_PE_Sectors,0),7),INDEX(GP_PE_T,MATCH($B4,GP_PE_Sectors,0),8),IF(O4&lt;=INDEX(GP_PE_T,MATCH($B4,GP_PE_Sectors,0),9),INDEX(GP_PE_T,MATCH($B4,GP_PE_Sectors,0),10),IF(O4&lt;=INDEX(GP_PE_T,MATCH($B4,GP_PE_Sectors,0),11),INDEX(GP_PE_T,MATCH($B4,GP_PE_Sectors,0),12),0))))))))</f>
        <v>48</v>
      </c>
      <c r="AH4">
        <f t="shared" ref="AH4:AH38" si="13">IF(OR($B4="",P4=""),"",IF(ISERROR(MATCH($B4,GP_EV_Sectors,0)),0,IF(P4&lt;=INDEX(GP_EV_T,MATCH($B4,GP_EV_Sectors,0),1),INDEX(GP_EV_T,MATCH($B4,GP_EV_Sectors,0),2),IF(P4&lt;=INDEX(GP_EV_T,MATCH($B4,GP_EV_Sectors,0),3),INDEX(GP_EV_T,MATCH($B4,GP_EV_Sectors,0),4),IF(P4&lt;=INDEX(GP_EV_T,MATCH($B4,GP_EV_Sectors,0),5),INDEX(GP_EV_T,MATCH($B4,GP_EV_Sectors,0),6),IF(P4&lt;=INDEX(GP_EV_T,MATCH($B4,GP_EV_Sectors,0),7),INDEX(GP_EV_T,MATCH($B4,GP_EV_Sectors,0),8),IF(P4&lt;=INDEX(GP_EV_T,MATCH($B4,GP_EV_Sectors,0),9),INDEX(GP_EV_T,MATCH($B4,GP_EV_Sectors,0),10),IF(P4&lt;=INDEX(GP_EV_T,MATCH($B4,GP_EV_Sectors,0),11),INDEX(GP_EV_T,MATCH($B4,GP_EV_Sectors,0),12),0))))))))</f>
        <v>48</v>
      </c>
      <c r="AI4">
        <f t="shared" ref="AI4:AI38" si="14">IF(OR($B4="",Q4=""),"",IF(ISERROR(MATCH($B4,GP_PF_Sectors,0)),0,IF(Q4&lt;=INDEX(GP_PF_T,MATCH($B4,GP_PF_Sectors,0),1),INDEX(GP_PF_T,MATCH($B4,GP_PF_Sectors,0),2),IF(Q4&lt;=INDEX(GP_PF_T,MATCH($B4,GP_PF_Sectors,0),3),INDEX(GP_PF_T,MATCH($B4,GP_PF_Sectors,0),4),IF(Q4&lt;=INDEX(GP_PF_T,MATCH($B4,GP_PF_Sectors,0),5),INDEX(GP_PF_T,MATCH($B4,GP_PF_Sectors,0),6),IF(Q4&lt;=INDEX(GP_PF_T,MATCH($B4,GP_PF_Sectors,0),7),INDEX(GP_PF_T,MATCH($B4,GP_PF_Sectors,0),8),IF(Q4&lt;=INDEX(GP_PF_T,MATCH($B4,GP_PF_Sectors,0),9),INDEX(GP_PF_T,MATCH($B4,GP_PF_Sectors,0),10),IF(Q4&lt;=INDEX(GP_PF_T,MATCH($B4,GP_PF_Sectors,0),11),INDEX(GP_PF_T,MATCH($B4,GP_PF_Sectors,0),12),0))))))))</f>
        <v>48</v>
      </c>
      <c r="AJ4">
        <f t="shared" ref="AJ4:AJ38" si="15">IF(OR($B4="",R4=""),"",IF(ISERROR(MATCH($B4,GP_DY_Sectors,0)),0,IF(R4&gt;=INDEX(GP_DY_T,MATCH($B4,GP_DY_Sectors,0),1),INDEX(GP_DY_T,MATCH($B4,GP_DY_Sectors,0),2),IF(R4&gt;=INDEX(GP_DY_T,MATCH($B4,GP_DY_Sectors,0),3),INDEX(GP_DY_T,MATCH($B4,GP_DY_Sectors,0),4),IF(R4&gt;=INDEX(GP_DY_T,MATCH($B4,GP_DY_Sectors,0),5),INDEX(GP_DY_T,MATCH($B4,GP_DY_Sectors,0),6),IF(R4&gt;=INDEX(GP_DY_T,MATCH($B4,GP_DY_Sectors,0),7),INDEX(GP_DY_T,MATCH($B4,GP_DY_Sectors,0),8),IF(R4&gt;=INDEX(GP_DY_T,MATCH($B4,GP_DY_Sectors,0),9),INDEX(GP_DY_T,MATCH($B4,GP_DY_Sectors,0),10),IF(R4&gt;=INDEX(GP_DY_T,MATCH($B4,GP_DY_Sectors,0),11),INDEX(GP_DY_T,MATCH($B4,GP_DY_Sectors,0),12),0))))))))</f>
        <v>5</v>
      </c>
      <c r="AK4">
        <f t="shared" ref="AK4:AK38" si="16">IF(OR($B4="",S4=""),"",IF(ISERROR(MATCH($B4,GP_PR_Sectors,0)),0,IF(S4&gt;=INDEX(GP_PR_T,MATCH($B4,GP_PR_Sectors,0),1),INDEX(GP_PR_T,MATCH($B4,GP_PR_Sectors,0),2),IF(S4&gt;=INDEX(GP_PR_T,MATCH($B4,GP_PR_Sectors,0),3),INDEX(GP_PR_T,MATCH($B4,GP_PR_Sectors,0),4),IF(S4&gt;=INDEX(GP_PR_T,MATCH($B4,GP_PR_Sectors,0),5),INDEX(GP_PR_T,MATCH($B4,GP_PR_Sectors,0),6),IF(S4&gt;=INDEX(GP_PR_T,MATCH($B4,GP_PR_Sectors,0),7),INDEX(GP_PR_T,MATCH($B4,GP_PR_Sectors,0),8),IF(S4&gt;=INDEX(GP_PR_T,MATCH($B4,GP_PR_Sectors,0),9),INDEX(GP_PR_T,MATCH($B4,GP_PR_Sectors,0),10),IF(S4&gt;=INDEX(GP_PR_T,MATCH($B4,GP_PR_Sectors,0),11),INDEX(GP_PR_T,MATCH($B4,GP_PR_Sectors,0),12),0))))))))</f>
        <v>0</v>
      </c>
      <c r="AL4">
        <f t="shared" ref="AL4:AL38" si="17">IF(OR($B4="",T4=""),"",IF(ISERROR(MATCH($B4,GP_BY_Sectors,0)),0,IF(T4&gt;=INDEX(GP_BY_T,MATCH($B4,GP_BY_Sectors,0),1),INDEX(GP_BY_T,MATCH($B4,GP_BY_Sectors,0),2),IF(T4&gt;=INDEX(GP_BY_T,MATCH($B4,GP_BY_Sectors,0),3),INDEX(GP_BY_T,MATCH($B4,GP_BY_Sectors,0),4),IF(T4&gt;=INDEX(GP_BY_T,MATCH($B4,GP_BY_Sectors,0),5),INDEX(GP_BY_T,MATCH($B4,GP_BY_Sectors,0),6),IF(T4&gt;=INDEX(GP_BY_T,MATCH($B4,GP_BY_Sectors,0),7),INDEX(GP_BY_T,MATCH($B4,GP_BY_Sectors,0),8),IF(T4&gt;=INDEX(GP_BY_T,MATCH($B4,GP_BY_Sectors,0),9),INDEX(GP_BY_T,MATCH($B4,GP_BY_Sectors,0),10),IF(T4&gt;=INDEX(GP_BY_T,MATCH($B4,GP_BY_Sectors,0),11),INDEX(GP_BY_T,MATCH($B4,GP_BY_Sectors,0),12),0))))))))</f>
        <v>50</v>
      </c>
      <c r="AM4">
        <f t="shared" ref="AM4:AM28" si="18">IF($B4="","",U4*0.35+V4*0.35+W4*0.3)</f>
        <v>100</v>
      </c>
      <c r="AN4">
        <f t="shared" ref="AN4:AN28" si="19">IF($B4="","",X4*0.4+Y4*0.35+Z4*0.25)</f>
        <v>100</v>
      </c>
      <c r="AO4">
        <f t="shared" ref="AO4:AO28" si="20">IF($B4="","",AA4*0.35+AB4*0.3+AC4*0.35)</f>
        <v>100</v>
      </c>
      <c r="AP4">
        <f t="shared" ref="AP4:AP28" si="21">IF($B4="","",AD4*0.4+AE4*0.35+AF4*0.25)</f>
        <v>92.05</v>
      </c>
      <c r="AQ4">
        <f t="shared" ref="AQ4:AQ28" si="22">IF($B4="","",AG4*0.35+AH4*0.35+AI4*0.3)</f>
        <v>47.999999999999993</v>
      </c>
      <c r="AR4">
        <f t="shared" ref="AR4:AR35" si="23">IF($B4="","",AJ4*0.45+AK4*0.2+AL4*0.35)</f>
        <v>19.75</v>
      </c>
      <c r="AS4">
        <f t="shared" ref="AS4:AS38" si="24">IF($B4="","",MIN(100,MAX(0,ROUND(AM4*INDEX(GP_W_P1,MATCH($B4,GP_Weights_Sectors,0))+AN4*INDEX(GP_W_P2,MATCH($B4,GP_Weights_Sectors,0))+AO4*INDEX(GP_W_P3,MATCH($B4,GP_Weights_Sectors,0))+AP4*INDEX(GP_W_P4,MATCH($B4,GP_Weights_Sectors,0))+AQ4*INDEX(GP_W_P5,MATCH($B4,GP_Weights_Sectors,0))+AR4*INDEX(GP_W_P6,MATCH($B4,GP_Weights_Sectors,0)),0))))</f>
        <v>83</v>
      </c>
      <c r="AT4" s="15">
        <v>3</v>
      </c>
      <c r="AU4" s="15">
        <v>3</v>
      </c>
      <c r="AV4" s="15">
        <v>4</v>
      </c>
      <c r="AW4">
        <f t="shared" ref="AW4:AW38" si="25">MAX(-10,MIN(10,AT4+AU4+AV4))</f>
        <v>10</v>
      </c>
      <c r="AX4" s="38" t="e" vm="1">
        <v>#VALUE!</v>
      </c>
      <c r="AY4" s="59" cm="1">
        <f t="array" aca="1" ref="AY4" ca="1">_FV(AX4,"PRECIO")</f>
        <v>171.24</v>
      </c>
      <c r="AZ4" s="60">
        <v>240</v>
      </c>
      <c r="BA4" s="55">
        <f>IFERROR(INDEX('DCF Simplified'!$Y$4:$Y$38,MATCH(A4,'DCF Simplified'!$A$4:$A$38,0)),"")</f>
        <v>69.398445491608399</v>
      </c>
      <c r="BB4" s="57">
        <f t="shared" ref="BB4:BB18" ca="1" si="26">IF(OR(AY4="",AZ4=""),"",(AZ4-AY4)/AY4)</f>
        <v>0.40154169586545191</v>
      </c>
      <c r="BD4">
        <v>0.12</v>
      </c>
      <c r="BE4">
        <v>62</v>
      </c>
      <c r="BF4">
        <v>0.35</v>
      </c>
      <c r="BG4">
        <f>IF(BD4&gt;0.1,100,IF(BD4&gt;0.05,80,IF(BD4&gt;0,65,IF(BD4&gt;-0.05,45,IF(BD4&gt;-0.1,25,10)))))</f>
        <v>100</v>
      </c>
      <c r="BH4">
        <f>IF(AND(BE4&gt;=40,BE4&lt;=60),70,IF(AND(BE4&gt;60,BE4&lt;=70),85,IF(BE4&gt;70,50,IF(AND(BE4&gt;=30,BE4&lt;40),55,40))))</f>
        <v>85</v>
      </c>
      <c r="BI4">
        <f>IF(BF4&gt;0.2,100,IF(BF4&gt;0.1,80,IF(BF4&gt;0,65,IF(BF4&gt;-0.1,45,IF(BF4&gt;-0.2,25,10)))))</f>
        <v>100</v>
      </c>
      <c r="BJ4">
        <f>ROUND(BG4*0.4+BH4*0.25+BI4*0.35,1)</f>
        <v>96.3</v>
      </c>
      <c r="BK4">
        <f>IF(OR(AS4="",AQ4="",BJ4=""),"",ROUND(AS4*0.4+MAX(15,MIN(90,AQ4))*0.2+BJ4*0.25+MIN(100,MAX(0,AW4*10))*0.15,0))</f>
        <v>82</v>
      </c>
      <c r="BL4" t="str">
        <f>IF(BK4="","",IF(BK4&gt;=85,"🟢 STRONG",IF(BK4&gt;=70,"🟡 FAVORABLE",IF(BK4&gt;=55,"⚪ NEUTRAL",IF(BK4&gt;=40,"🟠 WEAK","🔴 AVOID")))))</f>
        <v>🟡 FAVORABLE</v>
      </c>
      <c r="BM4" s="49" t="str">
        <f>IF(BK4="","",IF(AND(BK4&gt;=75,BJ4&gt;=70,AW4&gt;=6),"🚀 STRONG BUY",IF(AND(BK4&gt;=65,BJ4&gt;=55),"✅ BUY",IF(BK4&gt;=55,"⚠️ HOLD",IF(OR(BK4&lt;45,AND(BJ4&lt;35,AW4&lt;3)),"🔴 SELL","🟠 UNDERWEIGHT")))))</f>
        <v>🚀 STRONG BUY</v>
      </c>
    </row>
    <row r="5" spans="1:65" x14ac:dyDescent="0.4">
      <c r="A5" t="s">
        <v>117</v>
      </c>
      <c r="B5" t="s">
        <v>45</v>
      </c>
      <c r="C5" s="1">
        <v>0.22</v>
      </c>
      <c r="D5" s="1">
        <v>0.18</v>
      </c>
      <c r="E5" s="1">
        <v>0.18</v>
      </c>
      <c r="F5" s="1">
        <v>0.04</v>
      </c>
      <c r="G5" s="1">
        <v>0.03</v>
      </c>
      <c r="H5" s="33">
        <v>0.9</v>
      </c>
      <c r="I5" s="33">
        <v>1.2</v>
      </c>
      <c r="J5" s="33">
        <v>1.3</v>
      </c>
      <c r="K5" s="34">
        <v>8</v>
      </c>
      <c r="L5" s="18">
        <v>0.16</v>
      </c>
      <c r="M5" s="33">
        <v>0.95</v>
      </c>
      <c r="N5" s="18">
        <v>0.05</v>
      </c>
      <c r="O5" s="33">
        <v>16</v>
      </c>
      <c r="P5" s="33">
        <v>12</v>
      </c>
      <c r="Q5" s="33">
        <v>20</v>
      </c>
      <c r="R5" s="18">
        <v>3.2000000000000001E-2</v>
      </c>
      <c r="S5" s="18">
        <v>0.48</v>
      </c>
      <c r="T5" s="18">
        <v>0.02</v>
      </c>
      <c r="U5">
        <f t="shared" si="0"/>
        <v>88</v>
      </c>
      <c r="V5">
        <f t="shared" si="1"/>
        <v>88</v>
      </c>
      <c r="W5">
        <f t="shared" si="2"/>
        <v>88</v>
      </c>
      <c r="X5">
        <f t="shared" si="3"/>
        <v>35</v>
      </c>
      <c r="Y5">
        <f t="shared" si="4"/>
        <v>35</v>
      </c>
      <c r="Z5">
        <f t="shared" si="5"/>
        <v>52</v>
      </c>
      <c r="AA5">
        <f t="shared" si="6"/>
        <v>70</v>
      </c>
      <c r="AB5">
        <f t="shared" si="7"/>
        <v>52</v>
      </c>
      <c r="AC5">
        <f t="shared" si="8"/>
        <v>85</v>
      </c>
      <c r="AD5">
        <f t="shared" si="9"/>
        <v>85</v>
      </c>
      <c r="AE5">
        <f t="shared" si="10"/>
        <v>70</v>
      </c>
      <c r="AF5">
        <f t="shared" si="11"/>
        <v>85</v>
      </c>
      <c r="AG5">
        <f t="shared" si="12"/>
        <v>82</v>
      </c>
      <c r="AH5">
        <f t="shared" si="13"/>
        <v>82</v>
      </c>
      <c r="AI5">
        <f t="shared" si="14"/>
        <v>82</v>
      </c>
      <c r="AJ5">
        <f t="shared" si="15"/>
        <v>100</v>
      </c>
      <c r="AK5">
        <f t="shared" si="16"/>
        <v>100</v>
      </c>
      <c r="AL5">
        <f t="shared" si="17"/>
        <v>68</v>
      </c>
      <c r="AM5">
        <f t="shared" si="18"/>
        <v>88</v>
      </c>
      <c r="AN5">
        <f t="shared" si="19"/>
        <v>39.25</v>
      </c>
      <c r="AO5">
        <f t="shared" si="20"/>
        <v>69.849999999999994</v>
      </c>
      <c r="AP5">
        <f t="shared" si="21"/>
        <v>79.75</v>
      </c>
      <c r="AQ5">
        <f t="shared" si="22"/>
        <v>82</v>
      </c>
      <c r="AR5">
        <f t="shared" si="23"/>
        <v>88.8</v>
      </c>
      <c r="AS5">
        <f t="shared" si="24"/>
        <v>73</v>
      </c>
      <c r="AT5" s="15">
        <v>1</v>
      </c>
      <c r="AU5" s="15">
        <v>2</v>
      </c>
      <c r="AV5" s="15">
        <v>2</v>
      </c>
      <c r="AW5">
        <f t="shared" si="25"/>
        <v>5</v>
      </c>
      <c r="AX5" s="38" t="e" vm="2">
        <v>#VALUE!</v>
      </c>
      <c r="AY5" s="59" cm="1">
        <f t="array" aca="1" ref="AY5" ca="1">_FV(AX5,"PRECIO")</f>
        <v>239.24</v>
      </c>
      <c r="AZ5" s="60">
        <v>182</v>
      </c>
      <c r="BA5" s="55">
        <f>IFERROR(INDEX('DCF Simplified'!$Y$4:$Y$38,MATCH(A5,'DCF Simplified'!$A$4:$A$38,0)),"")</f>
        <v>154.33163482032046</v>
      </c>
      <c r="BB5" s="58">
        <f t="shared" ca="1" si="26"/>
        <v>-0.23925764922253806</v>
      </c>
      <c r="BD5">
        <v>-0.02</v>
      </c>
      <c r="BE5">
        <v>48</v>
      </c>
      <c r="BF5">
        <v>-0.05</v>
      </c>
      <c r="BG5">
        <f t="shared" ref="BG5:BG38" si="27">IF(BD5&gt;0.1,100,IF(BD5&gt;0.05,80,IF(BD5&gt;0,65,IF(BD5&gt;-0.05,45,IF(BD5&gt;-0.1,25,10)))))</f>
        <v>45</v>
      </c>
      <c r="BH5">
        <f t="shared" ref="BH5:BH38" si="28">IF(AND(BE5&gt;=40,BE5&lt;=60),70,IF(AND(BE5&gt;60,BE5&lt;=70),85,IF(BE5&gt;70,50,IF(AND(BE5&gt;=30,BE5&lt;40),55,40))))</f>
        <v>70</v>
      </c>
      <c r="BI5">
        <f t="shared" ref="BI5:BI38" si="29">IF(BF5&gt;0.2,100,IF(BF5&gt;0.1,80,IF(BF5&gt;0,65,IF(BF5&gt;-0.1,45,IF(BF5&gt;-0.2,25,10)))))</f>
        <v>45</v>
      </c>
      <c r="BJ5">
        <f t="shared" ref="BJ5:BJ38" si="30">ROUND(BG5*0.4+BH5*0.25+BI5*0.35,1)</f>
        <v>51.3</v>
      </c>
      <c r="BK5">
        <f t="shared" ref="BK5:BK38" si="31">IF(OR(AS5="",AQ5="",BJ5=""),"",ROUND(AS5*0.4+MAX(15,MIN(90,AQ5))*0.2+BJ5*0.25+MIN(100,MAX(0,AW5*10))*0.15,0))</f>
        <v>66</v>
      </c>
      <c r="BL5" t="str">
        <f t="shared" ref="BL5:BL38" si="32">IF(BK5="","",IF(BK5&gt;=85,"🟢 STRONG",IF(BK5&gt;=70,"🟡 FAVORABLE",IF(BK5&gt;=55,"⚪ NEUTRAL",IF(BK5&gt;=40,"🟠 WEAK","🔴 AVOID")))))</f>
        <v>⚪ NEUTRAL</v>
      </c>
      <c r="BM5" s="50" t="str">
        <f t="shared" ref="BM5:BM38" si="33">IF(BK5="","",IF(AND(BK5&gt;=75,BJ5&gt;=70,AW5&gt;=6),"🚀 STRONG BUY",IF(AND(BK5&gt;=65,BJ5&gt;=55),"✅ BUY",IF(BK5&gt;=55,"⚠️ HOLD",IF(OR(BK5&lt;45,AND(BJ5&lt;35,AW5&lt;3)),"🔴 SELL","🟠 UNDERWEIGHT")))))</f>
        <v>⚠️ HOLD</v>
      </c>
    </row>
    <row r="6" spans="1:65" x14ac:dyDescent="0.4">
      <c r="A6" t="s">
        <v>118</v>
      </c>
      <c r="B6" t="s">
        <v>50</v>
      </c>
      <c r="C6" s="1">
        <v>0.18</v>
      </c>
      <c r="D6" s="1">
        <v>0.12</v>
      </c>
      <c r="E6" s="1">
        <v>0.1</v>
      </c>
      <c r="F6" s="1">
        <v>0.08</v>
      </c>
      <c r="G6" s="1">
        <v>0.05</v>
      </c>
      <c r="H6" s="33">
        <v>1.4</v>
      </c>
      <c r="I6" s="33">
        <v>0.8</v>
      </c>
      <c r="J6" s="33">
        <v>1.4</v>
      </c>
      <c r="K6" s="34">
        <v>6</v>
      </c>
      <c r="L6" s="18">
        <v>0.08</v>
      </c>
      <c r="M6" s="33">
        <v>0.85</v>
      </c>
      <c r="N6" s="18">
        <v>0.15</v>
      </c>
      <c r="O6" s="33">
        <v>9</v>
      </c>
      <c r="P6" s="33">
        <v>6</v>
      </c>
      <c r="Q6" s="33">
        <v>10</v>
      </c>
      <c r="R6" s="18">
        <v>3.5000000000000003E-2</v>
      </c>
      <c r="S6" s="18">
        <v>0.4</v>
      </c>
      <c r="T6" s="18">
        <v>0.04</v>
      </c>
      <c r="U6">
        <f t="shared" si="0"/>
        <v>85</v>
      </c>
      <c r="V6">
        <f t="shared" si="1"/>
        <v>82</v>
      </c>
      <c r="W6">
        <f t="shared" si="2"/>
        <v>82</v>
      </c>
      <c r="X6">
        <f t="shared" si="3"/>
        <v>65</v>
      </c>
      <c r="Y6">
        <f t="shared" si="4"/>
        <v>42</v>
      </c>
      <c r="Z6">
        <f t="shared" si="5"/>
        <v>65</v>
      </c>
      <c r="AA6">
        <f t="shared" si="6"/>
        <v>82</v>
      </c>
      <c r="AB6">
        <f t="shared" si="7"/>
        <v>65</v>
      </c>
      <c r="AC6">
        <f t="shared" si="8"/>
        <v>80</v>
      </c>
      <c r="AD6">
        <f t="shared" si="9"/>
        <v>80</v>
      </c>
      <c r="AE6">
        <f t="shared" si="10"/>
        <v>80</v>
      </c>
      <c r="AF6">
        <f t="shared" si="11"/>
        <v>62</v>
      </c>
      <c r="AG6">
        <f t="shared" si="12"/>
        <v>82</v>
      </c>
      <c r="AH6">
        <f t="shared" si="13"/>
        <v>82</v>
      </c>
      <c r="AI6">
        <f t="shared" si="14"/>
        <v>80</v>
      </c>
      <c r="AJ6">
        <f t="shared" si="15"/>
        <v>68</v>
      </c>
      <c r="AK6">
        <f t="shared" si="16"/>
        <v>100</v>
      </c>
      <c r="AL6">
        <f t="shared" si="17"/>
        <v>80</v>
      </c>
      <c r="AM6">
        <f t="shared" si="18"/>
        <v>83.05</v>
      </c>
      <c r="AN6">
        <f t="shared" si="19"/>
        <v>56.95</v>
      </c>
      <c r="AO6">
        <f t="shared" si="20"/>
        <v>76.2</v>
      </c>
      <c r="AP6">
        <f t="shared" si="21"/>
        <v>75.5</v>
      </c>
      <c r="AQ6">
        <f t="shared" si="22"/>
        <v>81.400000000000006</v>
      </c>
      <c r="AR6">
        <f t="shared" si="23"/>
        <v>78.599999999999994</v>
      </c>
      <c r="AS6">
        <f t="shared" si="24"/>
        <v>75</v>
      </c>
      <c r="AT6" s="15">
        <v>1</v>
      </c>
      <c r="AU6" s="15">
        <v>2</v>
      </c>
      <c r="AV6" s="15">
        <v>3</v>
      </c>
      <c r="AW6">
        <f t="shared" si="25"/>
        <v>6</v>
      </c>
      <c r="AX6" s="38" t="e" vm="3">
        <v>#VALUE!</v>
      </c>
      <c r="AY6" s="59" cm="1">
        <f t="array" aca="1" ref="AY6" ca="1">_FV(AX6,"PRECIO")</f>
        <v>165.43</v>
      </c>
      <c r="AZ6" s="60">
        <v>142</v>
      </c>
      <c r="BA6" s="55">
        <f>IFERROR(INDEX('DCF Simplified'!$Y$4:$Y$38,MATCH(A6,'DCF Simplified'!$A$4:$A$38,0)),"")</f>
        <v>128.95781481050727</v>
      </c>
      <c r="BB6" s="58">
        <f t="shared" ca="1" si="26"/>
        <v>-0.14163090128755368</v>
      </c>
      <c r="BD6">
        <v>-0.05</v>
      </c>
      <c r="BE6">
        <v>44</v>
      </c>
      <c r="BF6">
        <v>-0.12</v>
      </c>
      <c r="BG6">
        <f t="shared" si="27"/>
        <v>25</v>
      </c>
      <c r="BH6">
        <f t="shared" si="28"/>
        <v>70</v>
      </c>
      <c r="BI6">
        <f t="shared" si="29"/>
        <v>25</v>
      </c>
      <c r="BJ6">
        <f t="shared" si="30"/>
        <v>36.299999999999997</v>
      </c>
      <c r="BK6">
        <f t="shared" si="31"/>
        <v>64</v>
      </c>
      <c r="BL6" t="str">
        <f t="shared" si="32"/>
        <v>⚪ NEUTRAL</v>
      </c>
      <c r="BM6" s="50" t="str">
        <f t="shared" si="33"/>
        <v>⚠️ HOLD</v>
      </c>
    </row>
    <row r="7" spans="1:65" x14ac:dyDescent="0.4">
      <c r="A7" t="s">
        <v>119</v>
      </c>
      <c r="B7" t="s">
        <v>46</v>
      </c>
      <c r="C7" s="1">
        <v>0.16</v>
      </c>
      <c r="D7" s="1">
        <v>0.1</v>
      </c>
      <c r="E7" s="1">
        <v>0.2</v>
      </c>
      <c r="F7" s="1">
        <v>0.08</v>
      </c>
      <c r="G7" s="1">
        <v>0.1</v>
      </c>
      <c r="H7" s="33">
        <v>1.2</v>
      </c>
      <c r="I7" s="33">
        <v>0.5</v>
      </c>
      <c r="J7" s="33">
        <v>1</v>
      </c>
      <c r="K7" s="34">
        <v>5</v>
      </c>
      <c r="L7" s="18">
        <v>0.08</v>
      </c>
      <c r="M7" s="33">
        <v>0.8</v>
      </c>
      <c r="N7" s="18">
        <v>0.04</v>
      </c>
      <c r="O7" s="33">
        <v>12</v>
      </c>
      <c r="P7" s="33">
        <v>9</v>
      </c>
      <c r="Q7" s="33">
        <v>14</v>
      </c>
      <c r="R7" s="18">
        <v>0</v>
      </c>
      <c r="S7" s="18">
        <v>0</v>
      </c>
      <c r="T7" s="18">
        <v>0.03</v>
      </c>
      <c r="U7">
        <f t="shared" si="0"/>
        <v>88</v>
      </c>
      <c r="V7">
        <f t="shared" si="1"/>
        <v>72</v>
      </c>
      <c r="W7">
        <f t="shared" si="2"/>
        <v>72</v>
      </c>
      <c r="X7">
        <f t="shared" si="3"/>
        <v>85</v>
      </c>
      <c r="Y7">
        <f t="shared" si="4"/>
        <v>85</v>
      </c>
      <c r="Z7">
        <f t="shared" si="5"/>
        <v>85</v>
      </c>
      <c r="AA7">
        <f t="shared" si="6"/>
        <v>85</v>
      </c>
      <c r="AB7">
        <f t="shared" si="7"/>
        <v>70</v>
      </c>
      <c r="AC7">
        <f t="shared" si="8"/>
        <v>85</v>
      </c>
      <c r="AD7">
        <f t="shared" si="9"/>
        <v>68</v>
      </c>
      <c r="AE7">
        <f t="shared" si="10"/>
        <v>70</v>
      </c>
      <c r="AF7">
        <f t="shared" si="11"/>
        <v>85</v>
      </c>
      <c r="AG7">
        <f t="shared" si="12"/>
        <v>85</v>
      </c>
      <c r="AH7">
        <f t="shared" si="13"/>
        <v>85</v>
      </c>
      <c r="AI7">
        <f t="shared" si="14"/>
        <v>85</v>
      </c>
      <c r="AJ7">
        <f t="shared" si="15"/>
        <v>8</v>
      </c>
      <c r="AK7">
        <f t="shared" si="16"/>
        <v>0</v>
      </c>
      <c r="AL7">
        <f t="shared" si="17"/>
        <v>70</v>
      </c>
      <c r="AM7">
        <f t="shared" si="18"/>
        <v>77.599999999999994</v>
      </c>
      <c r="AN7">
        <f t="shared" si="19"/>
        <v>85</v>
      </c>
      <c r="AO7">
        <f t="shared" si="20"/>
        <v>80.5</v>
      </c>
      <c r="AP7">
        <f t="shared" si="21"/>
        <v>72.95</v>
      </c>
      <c r="AQ7">
        <f t="shared" si="22"/>
        <v>85</v>
      </c>
      <c r="AR7">
        <f t="shared" si="23"/>
        <v>28.1</v>
      </c>
      <c r="AS7">
        <f t="shared" si="24"/>
        <v>75</v>
      </c>
      <c r="AT7" s="15">
        <v>2</v>
      </c>
      <c r="AU7" s="15">
        <v>3</v>
      </c>
      <c r="AV7" s="15">
        <v>3</v>
      </c>
      <c r="AW7">
        <f t="shared" si="25"/>
        <v>8</v>
      </c>
      <c r="AX7" s="38" t="e" vm="4">
        <v>#VALUE!</v>
      </c>
      <c r="AY7" s="59" cm="1">
        <f t="array" aca="1" ref="AY7" ca="1">_FV(AX7,"PRECIO")</f>
        <v>475.27</v>
      </c>
      <c r="AZ7" s="60">
        <v>510</v>
      </c>
      <c r="BA7" s="55">
        <f>IFERROR(INDEX('DCF Simplified'!$Y$4:$Y$38,MATCH(A7,'DCF Simplified'!$A$4:$A$38,0)),"")</f>
        <v>680.42848132060521</v>
      </c>
      <c r="BB7" s="58">
        <f t="shared" ca="1" si="26"/>
        <v>7.3074252530140799E-2</v>
      </c>
      <c r="BD7">
        <v>0.08</v>
      </c>
      <c r="BE7">
        <v>55</v>
      </c>
      <c r="BF7">
        <v>0.15</v>
      </c>
      <c r="BG7">
        <f t="shared" si="27"/>
        <v>80</v>
      </c>
      <c r="BH7">
        <f t="shared" si="28"/>
        <v>70</v>
      </c>
      <c r="BI7">
        <f t="shared" si="29"/>
        <v>80</v>
      </c>
      <c r="BJ7">
        <f t="shared" si="30"/>
        <v>77.5</v>
      </c>
      <c r="BK7">
        <f t="shared" si="31"/>
        <v>78</v>
      </c>
      <c r="BL7" t="str">
        <f t="shared" si="32"/>
        <v>🟡 FAVORABLE</v>
      </c>
      <c r="BM7" s="49" t="str">
        <f t="shared" si="33"/>
        <v>🚀 STRONG BUY</v>
      </c>
    </row>
    <row r="8" spans="1:65" x14ac:dyDescent="0.4">
      <c r="A8" t="s">
        <v>92</v>
      </c>
      <c r="B8" t="s">
        <v>52</v>
      </c>
      <c r="C8" s="1">
        <v>0.1</v>
      </c>
      <c r="D8" s="1">
        <v>0.06</v>
      </c>
      <c r="E8" s="1">
        <v>0.15</v>
      </c>
      <c r="F8" s="1">
        <v>0.1</v>
      </c>
      <c r="G8" s="1">
        <v>0.08</v>
      </c>
      <c r="H8" s="33">
        <v>0.9</v>
      </c>
      <c r="I8" s="33">
        <v>4.5</v>
      </c>
      <c r="J8" s="33">
        <v>0.7</v>
      </c>
      <c r="K8" s="34">
        <v>3</v>
      </c>
      <c r="L8" s="18">
        <v>0.04</v>
      </c>
      <c r="M8" s="33">
        <v>0.5</v>
      </c>
      <c r="N8" s="18">
        <v>0.25</v>
      </c>
      <c r="O8" s="33">
        <v>18</v>
      </c>
      <c r="P8" s="33">
        <v>14</v>
      </c>
      <c r="Q8" s="33">
        <v>25</v>
      </c>
      <c r="R8" s="18">
        <v>0.03</v>
      </c>
      <c r="S8" s="18">
        <v>0.6</v>
      </c>
      <c r="T8" s="18">
        <v>5.0000000000000001E-3</v>
      </c>
      <c r="U8">
        <f t="shared" si="0"/>
        <v>85</v>
      </c>
      <c r="V8">
        <f t="shared" si="1"/>
        <v>65</v>
      </c>
      <c r="W8">
        <f t="shared" si="2"/>
        <v>100</v>
      </c>
      <c r="X8">
        <f t="shared" si="3"/>
        <v>100</v>
      </c>
      <c r="Y8">
        <f t="shared" si="4"/>
        <v>100</v>
      </c>
      <c r="Z8">
        <f t="shared" si="5"/>
        <v>65</v>
      </c>
      <c r="AA8">
        <f t="shared" si="6"/>
        <v>48</v>
      </c>
      <c r="AB8">
        <f t="shared" si="7"/>
        <v>48</v>
      </c>
      <c r="AC8">
        <f t="shared" si="8"/>
        <v>65</v>
      </c>
      <c r="AD8">
        <f t="shared" si="9"/>
        <v>60</v>
      </c>
      <c r="AE8">
        <f t="shared" si="10"/>
        <v>60</v>
      </c>
      <c r="AF8">
        <f t="shared" si="11"/>
        <v>42</v>
      </c>
      <c r="AG8">
        <f t="shared" si="12"/>
        <v>62</v>
      </c>
      <c r="AH8">
        <f t="shared" si="13"/>
        <v>45</v>
      </c>
      <c r="AI8">
        <f t="shared" si="14"/>
        <v>60</v>
      </c>
      <c r="AJ8">
        <f t="shared" si="15"/>
        <v>72</v>
      </c>
      <c r="AK8">
        <f t="shared" si="16"/>
        <v>88</v>
      </c>
      <c r="AL8">
        <f t="shared" si="17"/>
        <v>40</v>
      </c>
      <c r="AM8">
        <f t="shared" si="18"/>
        <v>82.5</v>
      </c>
      <c r="AN8">
        <f t="shared" si="19"/>
        <v>91.25</v>
      </c>
      <c r="AO8">
        <f t="shared" si="20"/>
        <v>53.949999999999996</v>
      </c>
      <c r="AP8">
        <f t="shared" si="21"/>
        <v>55.5</v>
      </c>
      <c r="AQ8">
        <f t="shared" si="22"/>
        <v>55.449999999999996</v>
      </c>
      <c r="AR8">
        <f t="shared" si="23"/>
        <v>64</v>
      </c>
      <c r="AS8">
        <f t="shared" si="24"/>
        <v>64</v>
      </c>
      <c r="AT8" s="15">
        <v>-1</v>
      </c>
      <c r="AU8" s="15">
        <v>1</v>
      </c>
      <c r="AV8" s="15">
        <v>0</v>
      </c>
      <c r="AW8">
        <f t="shared" si="25"/>
        <v>0</v>
      </c>
      <c r="AX8" s="38" t="e" vm="5">
        <v>#VALUE!</v>
      </c>
      <c r="AY8" s="59" cm="1">
        <f t="array" aca="1" ref="AY8" ca="1">_FV(AX8,"PRECIO")</f>
        <v>91.16</v>
      </c>
      <c r="AZ8" s="60">
        <v>77</v>
      </c>
      <c r="BA8" s="55">
        <f>IFERROR(INDEX('DCF Simplified'!$Y$4:$Y$38,MATCH(A8,'DCF Simplified'!$A$4:$A$38,0)),"")</f>
        <v>3.7164873787217272</v>
      </c>
      <c r="BB8" s="58">
        <f t="shared" ca="1" si="26"/>
        <v>-0.15533128565160154</v>
      </c>
      <c r="BD8">
        <v>-0.03</v>
      </c>
      <c r="BE8">
        <v>42</v>
      </c>
      <c r="BF8">
        <v>-0.08</v>
      </c>
      <c r="BG8">
        <f t="shared" si="27"/>
        <v>45</v>
      </c>
      <c r="BH8">
        <f t="shared" si="28"/>
        <v>70</v>
      </c>
      <c r="BI8">
        <f t="shared" si="29"/>
        <v>45</v>
      </c>
      <c r="BJ8">
        <f t="shared" si="30"/>
        <v>51.3</v>
      </c>
      <c r="BK8">
        <f t="shared" si="31"/>
        <v>50</v>
      </c>
      <c r="BL8" t="str">
        <f t="shared" si="32"/>
        <v>🟠 WEAK</v>
      </c>
      <c r="BM8" s="51" t="str">
        <f t="shared" si="33"/>
        <v>🟠 UNDERWEIGHT</v>
      </c>
    </row>
    <row r="9" spans="1:65" x14ac:dyDescent="0.4">
      <c r="A9" t="s">
        <v>120</v>
      </c>
      <c r="B9" t="s">
        <v>44</v>
      </c>
      <c r="C9" s="1">
        <v>1.52</v>
      </c>
      <c r="D9" s="1">
        <v>0.48499999999999999</v>
      </c>
      <c r="E9" s="1">
        <v>0.26700000000000002</v>
      </c>
      <c r="F9" s="1">
        <v>0.05</v>
      </c>
      <c r="G9" s="1">
        <v>0.1</v>
      </c>
      <c r="H9" s="33">
        <v>1.6</v>
      </c>
      <c r="I9" s="33">
        <v>-0.5</v>
      </c>
      <c r="J9" s="33">
        <v>1</v>
      </c>
      <c r="K9" s="34">
        <v>40</v>
      </c>
      <c r="L9" s="18">
        <v>0.27</v>
      </c>
      <c r="M9" s="33">
        <v>1.05</v>
      </c>
      <c r="N9" s="18">
        <v>0.05</v>
      </c>
      <c r="O9" s="33">
        <v>33</v>
      </c>
      <c r="P9" s="33">
        <v>27</v>
      </c>
      <c r="Q9" s="33">
        <v>38</v>
      </c>
      <c r="R9" s="18">
        <v>5.0000000000000001E-3</v>
      </c>
      <c r="S9" s="18">
        <v>0.15</v>
      </c>
      <c r="T9" s="18">
        <v>3.5000000000000003E-2</v>
      </c>
      <c r="U9">
        <f t="shared" si="0"/>
        <v>100</v>
      </c>
      <c r="V9">
        <f t="shared" si="1"/>
        <v>100</v>
      </c>
      <c r="W9">
        <f t="shared" si="2"/>
        <v>100</v>
      </c>
      <c r="X9">
        <f t="shared" si="3"/>
        <v>35</v>
      </c>
      <c r="Y9">
        <f t="shared" si="4"/>
        <v>55</v>
      </c>
      <c r="Z9">
        <f t="shared" si="5"/>
        <v>85</v>
      </c>
      <c r="AA9">
        <f t="shared" si="6"/>
        <v>100</v>
      </c>
      <c r="AB9">
        <f t="shared" si="7"/>
        <v>35</v>
      </c>
      <c r="AC9">
        <f t="shared" si="8"/>
        <v>100</v>
      </c>
      <c r="AD9">
        <f t="shared" si="9"/>
        <v>100</v>
      </c>
      <c r="AE9">
        <f t="shared" si="10"/>
        <v>72</v>
      </c>
      <c r="AF9">
        <f t="shared" si="11"/>
        <v>85</v>
      </c>
      <c r="AG9">
        <f t="shared" si="12"/>
        <v>30</v>
      </c>
      <c r="AH9">
        <f t="shared" si="13"/>
        <v>48</v>
      </c>
      <c r="AI9">
        <f t="shared" si="14"/>
        <v>48</v>
      </c>
      <c r="AJ9">
        <f t="shared" si="15"/>
        <v>42</v>
      </c>
      <c r="AK9">
        <f t="shared" si="16"/>
        <v>0</v>
      </c>
      <c r="AL9">
        <f t="shared" si="17"/>
        <v>85</v>
      </c>
      <c r="AM9">
        <f t="shared" si="18"/>
        <v>100</v>
      </c>
      <c r="AN9">
        <f t="shared" si="19"/>
        <v>54.5</v>
      </c>
      <c r="AO9">
        <f t="shared" si="20"/>
        <v>80.5</v>
      </c>
      <c r="AP9">
        <f t="shared" si="21"/>
        <v>86.45</v>
      </c>
      <c r="AQ9">
        <f t="shared" si="22"/>
        <v>41.699999999999996</v>
      </c>
      <c r="AR9">
        <f t="shared" si="23"/>
        <v>48.65</v>
      </c>
      <c r="AS9">
        <f t="shared" si="24"/>
        <v>72</v>
      </c>
      <c r="AT9" s="15">
        <v>2</v>
      </c>
      <c r="AU9" s="15">
        <v>2</v>
      </c>
      <c r="AV9" s="15">
        <v>3</v>
      </c>
      <c r="AW9">
        <f t="shared" si="25"/>
        <v>7</v>
      </c>
      <c r="AX9" s="38" t="e" vm="6">
        <v>#VALUE!</v>
      </c>
      <c r="AY9" s="59" cm="1">
        <f t="array" aca="1" ref="AY9" ca="1">_FV(AX9,"PRECIO")</f>
        <v>252.89</v>
      </c>
      <c r="AZ9" s="60">
        <v>260</v>
      </c>
      <c r="BA9" s="55">
        <f>IFERROR(INDEX('DCF Simplified'!$Y$4:$Y$38,MATCH(A9,'DCF Simplified'!$A$4:$A$38,0)),"")</f>
        <v>205.0285887253886</v>
      </c>
      <c r="BB9" s="58">
        <f t="shared" ca="1" si="26"/>
        <v>2.8114990707422256E-2</v>
      </c>
      <c r="BD9">
        <v>0.04</v>
      </c>
      <c r="BE9">
        <v>52</v>
      </c>
      <c r="BF9">
        <v>0.08</v>
      </c>
      <c r="BG9">
        <f t="shared" si="27"/>
        <v>65</v>
      </c>
      <c r="BH9">
        <f t="shared" si="28"/>
        <v>70</v>
      </c>
      <c r="BI9">
        <f t="shared" si="29"/>
        <v>65</v>
      </c>
      <c r="BJ9">
        <f t="shared" si="30"/>
        <v>66.3</v>
      </c>
      <c r="BK9">
        <f t="shared" si="31"/>
        <v>64</v>
      </c>
      <c r="BL9" t="str">
        <f t="shared" si="32"/>
        <v>⚪ NEUTRAL</v>
      </c>
      <c r="BM9" s="50" t="str">
        <f t="shared" si="33"/>
        <v>⚠️ HOLD</v>
      </c>
    </row>
    <row r="10" spans="1:65" x14ac:dyDescent="0.4">
      <c r="A10" t="s">
        <v>121</v>
      </c>
      <c r="B10" t="s">
        <v>47</v>
      </c>
      <c r="C10" s="1">
        <v>0.20699999999999999</v>
      </c>
      <c r="D10" s="1">
        <v>0.21</v>
      </c>
      <c r="E10" s="1">
        <v>9.2999999999999999E-2</v>
      </c>
      <c r="F10" s="1">
        <v>0.11</v>
      </c>
      <c r="G10" s="1">
        <v>0.92</v>
      </c>
      <c r="H10" s="33">
        <v>2.8</v>
      </c>
      <c r="I10" s="33">
        <v>0.3</v>
      </c>
      <c r="J10" s="33">
        <v>1.1000000000000001</v>
      </c>
      <c r="K10" s="34">
        <v>15</v>
      </c>
      <c r="L10" s="18">
        <v>0.05</v>
      </c>
      <c r="M10" s="33">
        <v>0.55000000000000004</v>
      </c>
      <c r="N10" s="18">
        <v>0.13</v>
      </c>
      <c r="O10" s="33">
        <v>35</v>
      </c>
      <c r="P10" s="33">
        <v>20</v>
      </c>
      <c r="Q10" s="33">
        <v>45</v>
      </c>
      <c r="R10" s="18">
        <v>0</v>
      </c>
      <c r="S10" s="18">
        <v>0</v>
      </c>
      <c r="T10" s="18">
        <v>1.4999999999999999E-2</v>
      </c>
      <c r="U10">
        <f t="shared" si="0"/>
        <v>88</v>
      </c>
      <c r="V10">
        <f t="shared" si="1"/>
        <v>100</v>
      </c>
      <c r="W10">
        <f t="shared" si="2"/>
        <v>85</v>
      </c>
      <c r="X10">
        <f t="shared" si="3"/>
        <v>85</v>
      </c>
      <c r="Y10">
        <f t="shared" si="4"/>
        <v>100</v>
      </c>
      <c r="Z10">
        <f t="shared" si="5"/>
        <v>100</v>
      </c>
      <c r="AA10">
        <f t="shared" si="6"/>
        <v>85</v>
      </c>
      <c r="AB10">
        <f t="shared" si="7"/>
        <v>52</v>
      </c>
      <c r="AC10">
        <f t="shared" si="8"/>
        <v>100</v>
      </c>
      <c r="AD10">
        <f t="shared" si="9"/>
        <v>68</v>
      </c>
      <c r="AE10">
        <f t="shared" si="10"/>
        <v>32</v>
      </c>
      <c r="AF10">
        <f t="shared" si="11"/>
        <v>52</v>
      </c>
      <c r="AG10">
        <f t="shared" si="12"/>
        <v>30</v>
      </c>
      <c r="AH10">
        <f t="shared" si="13"/>
        <v>48</v>
      </c>
      <c r="AI10">
        <f t="shared" si="14"/>
        <v>28</v>
      </c>
      <c r="AJ10">
        <f t="shared" si="15"/>
        <v>5</v>
      </c>
      <c r="AK10">
        <f t="shared" si="16"/>
        <v>0</v>
      </c>
      <c r="AL10">
        <f t="shared" si="17"/>
        <v>50</v>
      </c>
      <c r="AM10">
        <f t="shared" si="18"/>
        <v>91.3</v>
      </c>
      <c r="AN10">
        <f t="shared" si="19"/>
        <v>94</v>
      </c>
      <c r="AO10">
        <f t="shared" si="20"/>
        <v>80.349999999999994</v>
      </c>
      <c r="AP10">
        <f t="shared" si="21"/>
        <v>51.400000000000006</v>
      </c>
      <c r="AQ10">
        <f t="shared" si="22"/>
        <v>35.699999999999996</v>
      </c>
      <c r="AR10">
        <f t="shared" si="23"/>
        <v>19.75</v>
      </c>
      <c r="AS10">
        <f t="shared" si="24"/>
        <v>69</v>
      </c>
      <c r="AT10" s="15">
        <v>3</v>
      </c>
      <c r="AU10" s="15">
        <v>2</v>
      </c>
      <c r="AV10" s="15">
        <v>3</v>
      </c>
      <c r="AW10">
        <f t="shared" si="25"/>
        <v>8</v>
      </c>
      <c r="AX10" s="38" t="e" vm="7">
        <v>#VALUE!</v>
      </c>
      <c r="AY10" s="59" cm="1">
        <f t="array" aca="1" ref="AY10" ca="1">_FV(AX10,"PRECIO")</f>
        <v>207.54</v>
      </c>
      <c r="AZ10" s="60">
        <v>260</v>
      </c>
      <c r="BA10" s="55">
        <f>IFERROR(INDEX('DCF Simplified'!$Y$4:$Y$38,MATCH(A10,'DCF Simplified'!$A$4:$A$38,0)),"")</f>
        <v>153.11256297848772</v>
      </c>
      <c r="BB10" s="58">
        <f t="shared" ca="1" si="26"/>
        <v>0.25277055025537248</v>
      </c>
      <c r="BD10">
        <v>0.1</v>
      </c>
      <c r="BE10">
        <v>58</v>
      </c>
      <c r="BF10">
        <v>0.22</v>
      </c>
      <c r="BG10">
        <f t="shared" si="27"/>
        <v>80</v>
      </c>
      <c r="BH10">
        <f t="shared" si="28"/>
        <v>70</v>
      </c>
      <c r="BI10">
        <f t="shared" si="29"/>
        <v>100</v>
      </c>
      <c r="BJ10">
        <f t="shared" si="30"/>
        <v>84.5</v>
      </c>
      <c r="BK10">
        <f t="shared" si="31"/>
        <v>68</v>
      </c>
      <c r="BL10" t="str">
        <f t="shared" si="32"/>
        <v>⚪ NEUTRAL</v>
      </c>
      <c r="BM10" s="52" t="str">
        <f t="shared" si="33"/>
        <v>✅ BUY</v>
      </c>
    </row>
    <row r="11" spans="1:65" x14ac:dyDescent="0.4">
      <c r="A11" t="s">
        <v>122</v>
      </c>
      <c r="B11" t="s">
        <v>48</v>
      </c>
      <c r="C11" s="1">
        <v>0.308</v>
      </c>
      <c r="D11" s="1">
        <v>0.218</v>
      </c>
      <c r="E11" s="1">
        <v>0.28999999999999998</v>
      </c>
      <c r="F11" s="1">
        <v>0.13</v>
      </c>
      <c r="G11" s="1">
        <v>0.31</v>
      </c>
      <c r="H11" s="33">
        <v>1.5</v>
      </c>
      <c r="I11" s="33">
        <v>-1.2</v>
      </c>
      <c r="J11" s="33">
        <v>2</v>
      </c>
      <c r="K11" s="34">
        <v>30</v>
      </c>
      <c r="L11" s="18">
        <v>0.25</v>
      </c>
      <c r="M11" s="33">
        <v>0.9</v>
      </c>
      <c r="N11" s="18">
        <v>0.11</v>
      </c>
      <c r="O11" s="33">
        <v>21</v>
      </c>
      <c r="P11" s="33">
        <v>16</v>
      </c>
      <c r="Q11" s="33">
        <v>28</v>
      </c>
      <c r="R11" s="18">
        <v>5.0000000000000001E-3</v>
      </c>
      <c r="S11" s="18">
        <v>0.05</v>
      </c>
      <c r="T11" s="18">
        <v>0.05</v>
      </c>
      <c r="U11">
        <f t="shared" si="0"/>
        <v>100</v>
      </c>
      <c r="V11">
        <f t="shared" si="1"/>
        <v>88</v>
      </c>
      <c r="W11">
        <f t="shared" si="2"/>
        <v>100</v>
      </c>
      <c r="X11">
        <f t="shared" si="3"/>
        <v>85</v>
      </c>
      <c r="Y11">
        <f t="shared" si="4"/>
        <v>100</v>
      </c>
      <c r="Z11">
        <f t="shared" si="5"/>
        <v>85</v>
      </c>
      <c r="AA11">
        <f t="shared" si="6"/>
        <v>100</v>
      </c>
      <c r="AB11">
        <f t="shared" si="7"/>
        <v>100</v>
      </c>
      <c r="AC11">
        <f t="shared" si="8"/>
        <v>100</v>
      </c>
      <c r="AD11">
        <f t="shared" si="9"/>
        <v>100</v>
      </c>
      <c r="AE11">
        <f t="shared" si="10"/>
        <v>70</v>
      </c>
      <c r="AF11">
        <f t="shared" si="11"/>
        <v>70</v>
      </c>
      <c r="AG11">
        <f t="shared" si="12"/>
        <v>65</v>
      </c>
      <c r="AH11">
        <f t="shared" si="13"/>
        <v>65</v>
      </c>
      <c r="AI11">
        <f t="shared" si="14"/>
        <v>65</v>
      </c>
      <c r="AJ11">
        <f t="shared" si="15"/>
        <v>22</v>
      </c>
      <c r="AK11">
        <f t="shared" si="16"/>
        <v>0</v>
      </c>
      <c r="AL11">
        <f t="shared" si="17"/>
        <v>100</v>
      </c>
      <c r="AM11">
        <f t="shared" si="18"/>
        <v>95.8</v>
      </c>
      <c r="AN11">
        <f t="shared" si="19"/>
        <v>90.25</v>
      </c>
      <c r="AO11">
        <f t="shared" si="20"/>
        <v>100</v>
      </c>
      <c r="AP11">
        <f t="shared" si="21"/>
        <v>82</v>
      </c>
      <c r="AQ11">
        <f t="shared" si="22"/>
        <v>65</v>
      </c>
      <c r="AR11">
        <f t="shared" si="23"/>
        <v>44.9</v>
      </c>
      <c r="AS11">
        <f t="shared" si="24"/>
        <v>84</v>
      </c>
      <c r="AT11" s="15">
        <v>2</v>
      </c>
      <c r="AU11" s="15">
        <v>3</v>
      </c>
      <c r="AV11" s="15">
        <v>3</v>
      </c>
      <c r="AW11">
        <f t="shared" si="25"/>
        <v>8</v>
      </c>
      <c r="AX11" s="38" t="e" vm="8">
        <v>#VALUE!</v>
      </c>
      <c r="AY11" s="59" cm="1">
        <f t="array" aca="1" ref="AY11" ca="1">_FV(AX11,"PRECIO")</f>
        <v>280.92</v>
      </c>
      <c r="AZ11" s="60">
        <v>340</v>
      </c>
      <c r="BA11" s="55">
        <f>IFERROR(INDEX('DCF Simplified'!$Y$4:$Y$38,MATCH(A11,'DCF Simplified'!$A$4:$A$38,0)),"")</f>
        <v>270.43720092882802</v>
      </c>
      <c r="BB11" s="58">
        <f t="shared" ca="1" si="26"/>
        <v>0.21030898476434565</v>
      </c>
      <c r="BD11">
        <v>0.03</v>
      </c>
      <c r="BE11">
        <v>50</v>
      </c>
      <c r="BF11">
        <v>0.05</v>
      </c>
      <c r="BG11">
        <f t="shared" si="27"/>
        <v>65</v>
      </c>
      <c r="BH11">
        <f t="shared" si="28"/>
        <v>70</v>
      </c>
      <c r="BI11">
        <f t="shared" si="29"/>
        <v>65</v>
      </c>
      <c r="BJ11">
        <f t="shared" si="30"/>
        <v>66.3</v>
      </c>
      <c r="BK11">
        <f t="shared" si="31"/>
        <v>75</v>
      </c>
      <c r="BL11" t="str">
        <f t="shared" si="32"/>
        <v>🟡 FAVORABLE</v>
      </c>
      <c r="BM11" s="52" t="str">
        <f t="shared" si="33"/>
        <v>✅ BUY</v>
      </c>
    </row>
    <row r="12" spans="1:65" x14ac:dyDescent="0.4">
      <c r="A12" t="s">
        <v>123</v>
      </c>
      <c r="B12" t="s">
        <v>49</v>
      </c>
      <c r="C12" s="1">
        <v>0.29599999999999999</v>
      </c>
      <c r="D12" s="1">
        <v>0.17499999999999999</v>
      </c>
      <c r="E12" s="1">
        <v>0.17699999999999999</v>
      </c>
      <c r="F12" s="1">
        <v>0.04</v>
      </c>
      <c r="G12" s="1">
        <v>0.06</v>
      </c>
      <c r="H12" s="33">
        <v>1.1000000000000001</v>
      </c>
      <c r="I12" s="33">
        <v>1.3</v>
      </c>
      <c r="J12" s="33">
        <v>0.75</v>
      </c>
      <c r="K12" s="34">
        <v>25</v>
      </c>
      <c r="L12" s="18">
        <v>0.18</v>
      </c>
      <c r="M12" s="33">
        <v>0.9</v>
      </c>
      <c r="N12" s="18">
        <v>0.05</v>
      </c>
      <c r="O12" s="33">
        <v>24</v>
      </c>
      <c r="P12" s="33">
        <v>18</v>
      </c>
      <c r="Q12" s="33">
        <v>27</v>
      </c>
      <c r="R12" s="18">
        <v>2.4E-2</v>
      </c>
      <c r="S12" s="18">
        <v>0.6</v>
      </c>
      <c r="T12" s="18">
        <v>0.03</v>
      </c>
      <c r="U12">
        <f t="shared" si="0"/>
        <v>100</v>
      </c>
      <c r="V12">
        <f t="shared" si="1"/>
        <v>85</v>
      </c>
      <c r="W12">
        <f t="shared" si="2"/>
        <v>100</v>
      </c>
      <c r="X12">
        <f t="shared" si="3"/>
        <v>68</v>
      </c>
      <c r="Y12">
        <f t="shared" si="4"/>
        <v>85</v>
      </c>
      <c r="Z12">
        <f t="shared" si="5"/>
        <v>68</v>
      </c>
      <c r="AA12">
        <f t="shared" si="6"/>
        <v>68</v>
      </c>
      <c r="AB12">
        <f t="shared" si="7"/>
        <v>30</v>
      </c>
      <c r="AC12">
        <f t="shared" si="8"/>
        <v>100</v>
      </c>
      <c r="AD12">
        <f t="shared" si="9"/>
        <v>100</v>
      </c>
      <c r="AE12">
        <f t="shared" si="10"/>
        <v>82</v>
      </c>
      <c r="AF12">
        <f t="shared" si="11"/>
        <v>82</v>
      </c>
      <c r="AG12">
        <f t="shared" si="12"/>
        <v>48</v>
      </c>
      <c r="AH12">
        <f t="shared" si="13"/>
        <v>48</v>
      </c>
      <c r="AI12">
        <f t="shared" si="14"/>
        <v>65</v>
      </c>
      <c r="AJ12">
        <f t="shared" si="15"/>
        <v>68</v>
      </c>
      <c r="AK12">
        <f t="shared" si="16"/>
        <v>100</v>
      </c>
      <c r="AL12">
        <f t="shared" si="17"/>
        <v>100</v>
      </c>
      <c r="AM12">
        <f t="shared" si="18"/>
        <v>94.75</v>
      </c>
      <c r="AN12">
        <f t="shared" si="19"/>
        <v>73.95</v>
      </c>
      <c r="AO12">
        <f t="shared" si="20"/>
        <v>67.8</v>
      </c>
      <c r="AP12">
        <f t="shared" si="21"/>
        <v>89.2</v>
      </c>
      <c r="AQ12">
        <f t="shared" si="22"/>
        <v>53.099999999999994</v>
      </c>
      <c r="AR12">
        <f t="shared" si="23"/>
        <v>85.6</v>
      </c>
      <c r="AS12">
        <f t="shared" si="24"/>
        <v>78</v>
      </c>
      <c r="AT12" s="15">
        <v>1</v>
      </c>
      <c r="AU12" s="15">
        <v>2</v>
      </c>
      <c r="AV12" s="15">
        <v>2</v>
      </c>
      <c r="AW12">
        <f t="shared" si="25"/>
        <v>5</v>
      </c>
      <c r="AX12" s="38" t="e" vm="9">
        <v>#VALUE!</v>
      </c>
      <c r="AY12" s="59" cm="1">
        <f t="array" aca="1" ref="AY12" ca="1">_FV(AX12,"PRECIO")</f>
        <v>142.41999999999999</v>
      </c>
      <c r="AZ12" s="60">
        <v>148</v>
      </c>
      <c r="BA12" s="55">
        <f>IFERROR(INDEX('DCF Simplified'!$Y$4:$Y$38,MATCH(A12,'DCF Simplified'!$A$4:$A$38,0)),"")</f>
        <v>165.86976422968732</v>
      </c>
      <c r="BB12" s="58">
        <f t="shared" ca="1" si="26"/>
        <v>3.9179890464822446E-2</v>
      </c>
      <c r="BD12">
        <v>-0.04</v>
      </c>
      <c r="BE12">
        <v>45</v>
      </c>
      <c r="BF12">
        <v>-0.06</v>
      </c>
      <c r="BG12">
        <f t="shared" si="27"/>
        <v>45</v>
      </c>
      <c r="BH12">
        <f t="shared" si="28"/>
        <v>70</v>
      </c>
      <c r="BI12">
        <f t="shared" si="29"/>
        <v>45</v>
      </c>
      <c r="BJ12">
        <f t="shared" si="30"/>
        <v>51.3</v>
      </c>
      <c r="BK12">
        <f t="shared" si="31"/>
        <v>62</v>
      </c>
      <c r="BL12" t="str">
        <f t="shared" si="32"/>
        <v>⚪ NEUTRAL</v>
      </c>
      <c r="BM12" s="50" t="str">
        <f t="shared" si="33"/>
        <v>⚠️ HOLD</v>
      </c>
    </row>
    <row r="13" spans="1:65" x14ac:dyDescent="0.4">
      <c r="A13" t="s">
        <v>124</v>
      </c>
      <c r="B13" t="s">
        <v>0</v>
      </c>
      <c r="C13" s="1">
        <v>0.55400000000000005</v>
      </c>
      <c r="D13" s="1">
        <v>0.155</v>
      </c>
      <c r="E13" s="1">
        <v>0.16600000000000001</v>
      </c>
      <c r="F13" s="1">
        <v>0.08</v>
      </c>
      <c r="G13" s="1">
        <v>0.18</v>
      </c>
      <c r="H13" s="33">
        <v>1.4</v>
      </c>
      <c r="I13" s="33">
        <v>1.5</v>
      </c>
      <c r="J13" s="33">
        <v>1.4</v>
      </c>
      <c r="K13" s="34">
        <v>20</v>
      </c>
      <c r="L13" s="18">
        <v>0.14000000000000001</v>
      </c>
      <c r="M13" s="33">
        <v>1</v>
      </c>
      <c r="N13" s="18">
        <v>0.06</v>
      </c>
      <c r="O13" s="33">
        <v>17</v>
      </c>
      <c r="P13" s="33">
        <v>13</v>
      </c>
      <c r="Q13" s="33">
        <v>20</v>
      </c>
      <c r="R13" s="18">
        <v>1.4999999999999999E-2</v>
      </c>
      <c r="S13" s="18">
        <v>0.25</v>
      </c>
      <c r="T13" s="18">
        <v>0.06</v>
      </c>
      <c r="U13">
        <f t="shared" si="0"/>
        <v>100</v>
      </c>
      <c r="V13">
        <f t="shared" si="1"/>
        <v>85</v>
      </c>
      <c r="W13">
        <f t="shared" si="2"/>
        <v>100</v>
      </c>
      <c r="X13">
        <f t="shared" si="3"/>
        <v>85</v>
      </c>
      <c r="Y13">
        <f t="shared" si="4"/>
        <v>100</v>
      </c>
      <c r="Z13">
        <f t="shared" si="5"/>
        <v>82</v>
      </c>
      <c r="AA13">
        <f t="shared" si="6"/>
        <v>68</v>
      </c>
      <c r="AB13">
        <f t="shared" si="7"/>
        <v>68</v>
      </c>
      <c r="AC13">
        <f t="shared" si="8"/>
        <v>100</v>
      </c>
      <c r="AD13">
        <f t="shared" si="9"/>
        <v>100</v>
      </c>
      <c r="AE13">
        <f t="shared" si="10"/>
        <v>82</v>
      </c>
      <c r="AF13">
        <f t="shared" si="11"/>
        <v>82</v>
      </c>
      <c r="AG13">
        <f t="shared" si="12"/>
        <v>65</v>
      </c>
      <c r="AH13">
        <f t="shared" si="13"/>
        <v>65</v>
      </c>
      <c r="AI13">
        <f t="shared" si="14"/>
        <v>82</v>
      </c>
      <c r="AJ13">
        <f t="shared" si="15"/>
        <v>65</v>
      </c>
      <c r="AK13">
        <f t="shared" si="16"/>
        <v>50</v>
      </c>
      <c r="AL13">
        <f t="shared" si="17"/>
        <v>100</v>
      </c>
      <c r="AM13">
        <f t="shared" si="18"/>
        <v>94.75</v>
      </c>
      <c r="AN13">
        <f t="shared" si="19"/>
        <v>89.5</v>
      </c>
      <c r="AO13">
        <f t="shared" si="20"/>
        <v>79.199999999999989</v>
      </c>
      <c r="AP13">
        <f t="shared" si="21"/>
        <v>89.2</v>
      </c>
      <c r="AQ13">
        <f t="shared" si="22"/>
        <v>70.099999999999994</v>
      </c>
      <c r="AR13">
        <f t="shared" si="23"/>
        <v>74.25</v>
      </c>
      <c r="AS13">
        <f t="shared" si="24"/>
        <v>83</v>
      </c>
      <c r="AT13" s="15">
        <v>2</v>
      </c>
      <c r="AU13" s="15">
        <v>2</v>
      </c>
      <c r="AV13" s="15">
        <v>2</v>
      </c>
      <c r="AW13">
        <f t="shared" si="25"/>
        <v>6</v>
      </c>
      <c r="AX13" s="38" t="e" vm="10">
        <v>#VALUE!</v>
      </c>
      <c r="AY13" s="59" cm="1">
        <f t="array" aca="1" ref="AY13" ca="1">_FV(AX13,"PRECIO")</f>
        <v>0.01</v>
      </c>
      <c r="AZ13" s="60">
        <v>620</v>
      </c>
      <c r="BA13" s="55">
        <f>IFERROR(INDEX('DCF Simplified'!$Y$4:$Y$38,MATCH(A13,'DCF Simplified'!$A$4:$A$38,0)),"")</f>
        <v>396.82578449848035</v>
      </c>
      <c r="BB13" s="58">
        <f t="shared" ca="1" si="26"/>
        <v>61999</v>
      </c>
      <c r="BD13">
        <v>0.06</v>
      </c>
      <c r="BE13">
        <v>54</v>
      </c>
      <c r="BF13">
        <v>0.1</v>
      </c>
      <c r="BG13">
        <f t="shared" si="27"/>
        <v>80</v>
      </c>
      <c r="BH13">
        <f t="shared" si="28"/>
        <v>70</v>
      </c>
      <c r="BI13">
        <f t="shared" si="29"/>
        <v>65</v>
      </c>
      <c r="BJ13">
        <f t="shared" si="30"/>
        <v>72.3</v>
      </c>
      <c r="BK13">
        <f t="shared" si="31"/>
        <v>74</v>
      </c>
      <c r="BL13" t="str">
        <f t="shared" si="32"/>
        <v>🟡 FAVORABLE</v>
      </c>
      <c r="BM13" s="52" t="str">
        <f t="shared" si="33"/>
        <v>✅ BUY</v>
      </c>
    </row>
    <row r="14" spans="1:65" x14ac:dyDescent="0.4">
      <c r="A14" t="s">
        <v>125</v>
      </c>
      <c r="B14" t="s">
        <v>51</v>
      </c>
      <c r="C14" s="1">
        <v>0.185</v>
      </c>
      <c r="D14" s="1">
        <v>9.6000000000000002E-2</v>
      </c>
      <c r="E14" s="1">
        <v>0.20399999999999999</v>
      </c>
      <c r="F14" s="1">
        <v>0.02</v>
      </c>
      <c r="G14" s="1">
        <v>0.08</v>
      </c>
      <c r="H14" s="33">
        <v>1.2</v>
      </c>
      <c r="I14" s="33">
        <v>1.8</v>
      </c>
      <c r="J14" s="33">
        <v>0.85</v>
      </c>
      <c r="K14" s="34">
        <v>18</v>
      </c>
      <c r="L14" s="18">
        <v>0.15</v>
      </c>
      <c r="M14" s="33">
        <v>0.7</v>
      </c>
      <c r="N14" s="18">
        <v>0.14000000000000001</v>
      </c>
      <c r="O14" s="33">
        <v>28</v>
      </c>
      <c r="P14" s="33">
        <v>19</v>
      </c>
      <c r="Q14" s="33">
        <v>32</v>
      </c>
      <c r="R14" s="18">
        <v>1.2999999999999999E-2</v>
      </c>
      <c r="S14" s="18">
        <v>0.4</v>
      </c>
      <c r="T14" s="18">
        <v>0.03</v>
      </c>
      <c r="U14">
        <f t="shared" si="0"/>
        <v>100</v>
      </c>
      <c r="V14">
        <f t="shared" si="1"/>
        <v>65</v>
      </c>
      <c r="W14">
        <f t="shared" si="2"/>
        <v>100</v>
      </c>
      <c r="X14">
        <f t="shared" si="3"/>
        <v>45</v>
      </c>
      <c r="Y14">
        <f t="shared" si="4"/>
        <v>62</v>
      </c>
      <c r="Z14">
        <f t="shared" si="5"/>
        <v>65</v>
      </c>
      <c r="AA14">
        <f t="shared" si="6"/>
        <v>65</v>
      </c>
      <c r="AB14">
        <f t="shared" si="7"/>
        <v>28</v>
      </c>
      <c r="AC14">
        <f t="shared" si="8"/>
        <v>100</v>
      </c>
      <c r="AD14">
        <f t="shared" si="9"/>
        <v>100</v>
      </c>
      <c r="AE14">
        <f t="shared" si="10"/>
        <v>62</v>
      </c>
      <c r="AF14">
        <f t="shared" si="11"/>
        <v>45</v>
      </c>
      <c r="AG14">
        <f t="shared" si="12"/>
        <v>28</v>
      </c>
      <c r="AH14">
        <f t="shared" si="13"/>
        <v>8</v>
      </c>
      <c r="AI14">
        <f t="shared" si="14"/>
        <v>25</v>
      </c>
      <c r="AJ14">
        <f t="shared" si="15"/>
        <v>48</v>
      </c>
      <c r="AK14">
        <f t="shared" si="16"/>
        <v>100</v>
      </c>
      <c r="AL14">
        <f t="shared" si="17"/>
        <v>100</v>
      </c>
      <c r="AM14">
        <f t="shared" si="18"/>
        <v>87.75</v>
      </c>
      <c r="AN14">
        <f t="shared" si="19"/>
        <v>55.95</v>
      </c>
      <c r="AO14">
        <f t="shared" si="20"/>
        <v>66.150000000000006</v>
      </c>
      <c r="AP14">
        <f t="shared" si="21"/>
        <v>72.95</v>
      </c>
      <c r="AQ14">
        <f t="shared" si="22"/>
        <v>20.099999999999998</v>
      </c>
      <c r="AR14">
        <f t="shared" si="23"/>
        <v>76.599999999999994</v>
      </c>
      <c r="AS14">
        <f t="shared" si="24"/>
        <v>67</v>
      </c>
      <c r="AT14" s="15">
        <v>1</v>
      </c>
      <c r="AU14" s="15">
        <v>2</v>
      </c>
      <c r="AV14" s="15">
        <v>1</v>
      </c>
      <c r="AW14">
        <f t="shared" si="25"/>
        <v>4</v>
      </c>
      <c r="AX14" s="38" t="e" vm="11">
        <v>#VALUE!</v>
      </c>
      <c r="AY14" s="59" cm="1">
        <f t="array" aca="1" ref="AY14" ca="1">_FV(AX14,"PRECIO")</f>
        <v>495.49</v>
      </c>
      <c r="AZ14" s="60">
        <v>550</v>
      </c>
      <c r="BA14" s="55">
        <f>IFERROR(INDEX('DCF Simplified'!$Y$4:$Y$38,MATCH(A14,'DCF Simplified'!$A$4:$A$38,0)),"")</f>
        <v>241.33414474718609</v>
      </c>
      <c r="BB14" s="58">
        <f t="shared" ca="1" si="26"/>
        <v>0.11001231104563158</v>
      </c>
      <c r="BD14">
        <v>-0.02</v>
      </c>
      <c r="BE14">
        <v>47</v>
      </c>
      <c r="BF14">
        <v>-0.03</v>
      </c>
      <c r="BG14">
        <f t="shared" si="27"/>
        <v>45</v>
      </c>
      <c r="BH14">
        <f t="shared" si="28"/>
        <v>70</v>
      </c>
      <c r="BI14">
        <f t="shared" si="29"/>
        <v>45</v>
      </c>
      <c r="BJ14">
        <f t="shared" si="30"/>
        <v>51.3</v>
      </c>
      <c r="BK14">
        <f t="shared" si="31"/>
        <v>50</v>
      </c>
      <c r="BL14" t="str">
        <f t="shared" si="32"/>
        <v>🟠 WEAK</v>
      </c>
      <c r="BM14" s="51" t="str">
        <f t="shared" si="33"/>
        <v>🟠 UNDERWEIGHT</v>
      </c>
    </row>
    <row r="15" spans="1:65" x14ac:dyDescent="0.4">
      <c r="A15" t="s">
        <v>126</v>
      </c>
      <c r="B15" t="s">
        <v>53</v>
      </c>
      <c r="C15" s="1">
        <v>0.06</v>
      </c>
      <c r="D15" s="1">
        <v>3.5000000000000003E-2</v>
      </c>
      <c r="E15" s="1">
        <v>0.27</v>
      </c>
      <c r="F15" s="1">
        <v>0.1</v>
      </c>
      <c r="G15" s="1">
        <v>-0.1</v>
      </c>
      <c r="H15" s="33">
        <v>0.8</v>
      </c>
      <c r="I15" s="33">
        <v>6</v>
      </c>
      <c r="J15" s="33">
        <v>0.3</v>
      </c>
      <c r="K15" s="34">
        <v>5</v>
      </c>
      <c r="L15" s="18">
        <v>0.5</v>
      </c>
      <c r="M15" s="33">
        <v>0.6</v>
      </c>
      <c r="N15" s="18">
        <v>0.04</v>
      </c>
      <c r="O15" s="33">
        <v>35</v>
      </c>
      <c r="P15" s="33">
        <v>22</v>
      </c>
      <c r="Q15" s="33">
        <v>30</v>
      </c>
      <c r="R15" s="18">
        <v>3.3000000000000002E-2</v>
      </c>
      <c r="S15" s="18">
        <v>0.75</v>
      </c>
      <c r="T15" s="18">
        <v>0</v>
      </c>
      <c r="U15">
        <f t="shared" si="0"/>
        <v>50</v>
      </c>
      <c r="V15">
        <f t="shared" si="1"/>
        <v>48</v>
      </c>
      <c r="W15">
        <f t="shared" si="2"/>
        <v>100</v>
      </c>
      <c r="X15">
        <f t="shared" si="3"/>
        <v>100</v>
      </c>
      <c r="Y15">
        <f t="shared" si="4"/>
        <v>0</v>
      </c>
      <c r="Z15">
        <f t="shared" si="5"/>
        <v>48</v>
      </c>
      <c r="AA15">
        <f t="shared" si="6"/>
        <v>48</v>
      </c>
      <c r="AB15">
        <f t="shared" si="7"/>
        <v>10</v>
      </c>
      <c r="AC15">
        <f t="shared" si="8"/>
        <v>100</v>
      </c>
      <c r="AD15">
        <f t="shared" si="9"/>
        <v>100</v>
      </c>
      <c r="AE15">
        <f t="shared" si="10"/>
        <v>78</v>
      </c>
      <c r="AF15">
        <f t="shared" si="11"/>
        <v>100</v>
      </c>
      <c r="AG15">
        <f t="shared" si="12"/>
        <v>25</v>
      </c>
      <c r="AH15">
        <f t="shared" si="13"/>
        <v>45</v>
      </c>
      <c r="AI15">
        <f t="shared" si="14"/>
        <v>42</v>
      </c>
      <c r="AJ15">
        <f t="shared" si="15"/>
        <v>55</v>
      </c>
      <c r="AK15">
        <f t="shared" si="16"/>
        <v>100</v>
      </c>
      <c r="AL15">
        <f t="shared" si="17"/>
        <v>5</v>
      </c>
      <c r="AM15">
        <f t="shared" si="18"/>
        <v>64.3</v>
      </c>
      <c r="AN15">
        <f t="shared" si="19"/>
        <v>52</v>
      </c>
      <c r="AO15">
        <f t="shared" si="20"/>
        <v>54.8</v>
      </c>
      <c r="AP15">
        <f t="shared" si="21"/>
        <v>92.3</v>
      </c>
      <c r="AQ15">
        <f t="shared" si="22"/>
        <v>37.1</v>
      </c>
      <c r="AR15">
        <f t="shared" si="23"/>
        <v>46.5</v>
      </c>
      <c r="AS15">
        <f t="shared" si="24"/>
        <v>58</v>
      </c>
      <c r="AT15" s="15">
        <v>-1</v>
      </c>
      <c r="AU15" s="15">
        <v>1</v>
      </c>
      <c r="AV15" s="15">
        <v>1</v>
      </c>
      <c r="AW15">
        <f t="shared" si="25"/>
        <v>1</v>
      </c>
      <c r="AX15" s="38" t="e" vm="12">
        <v>#VALUE!</v>
      </c>
      <c r="AY15" s="59" cm="1">
        <f t="array" aca="1" ref="AY15" ca="1">_FV(AX15,"PRECIO")</f>
        <v>129.74</v>
      </c>
      <c r="AZ15" s="60">
        <v>130</v>
      </c>
      <c r="BA15" s="55">
        <f>IFERROR(INDEX('DCF Simplified'!$Y$4:$Y$38,MATCH(A15,'DCF Simplified'!$A$4:$A$38,0)),"")</f>
        <v>129.12987342090565</v>
      </c>
      <c r="BB15" s="58">
        <f t="shared" ca="1" si="26"/>
        <v>2.0040080160319937E-3</v>
      </c>
      <c r="BD15">
        <v>-0.08</v>
      </c>
      <c r="BE15">
        <v>38</v>
      </c>
      <c r="BF15">
        <v>-0.15</v>
      </c>
      <c r="BG15">
        <f t="shared" si="27"/>
        <v>25</v>
      </c>
      <c r="BH15">
        <f t="shared" si="28"/>
        <v>55</v>
      </c>
      <c r="BI15">
        <f t="shared" si="29"/>
        <v>25</v>
      </c>
      <c r="BJ15">
        <f t="shared" si="30"/>
        <v>32.5</v>
      </c>
      <c r="BK15">
        <f t="shared" si="31"/>
        <v>40</v>
      </c>
      <c r="BL15" t="str">
        <f t="shared" si="32"/>
        <v>🟠 WEAK</v>
      </c>
      <c r="BM15" s="53" t="str">
        <f t="shared" si="33"/>
        <v>🔴 SELL</v>
      </c>
    </row>
    <row r="16" spans="1:65" x14ac:dyDescent="0.4">
      <c r="A16" t="s">
        <v>127</v>
      </c>
      <c r="B16" t="s">
        <v>45</v>
      </c>
      <c r="C16" s="1">
        <v>0.27</v>
      </c>
      <c r="D16" s="1">
        <v>9.5000000000000001E-2</v>
      </c>
      <c r="E16" s="1">
        <v>6.6000000000000003E-2</v>
      </c>
      <c r="F16" s="1">
        <v>0.12</v>
      </c>
      <c r="G16" s="1">
        <v>0.15</v>
      </c>
      <c r="H16" s="33">
        <v>1.5</v>
      </c>
      <c r="I16" s="33">
        <v>2.5</v>
      </c>
      <c r="J16" s="33">
        <v>0.8</v>
      </c>
      <c r="K16" s="34">
        <v>12</v>
      </c>
      <c r="L16" s="18">
        <v>0.08</v>
      </c>
      <c r="M16" s="33">
        <v>1.1000000000000001</v>
      </c>
      <c r="N16" s="18">
        <v>0.01</v>
      </c>
      <c r="O16" s="33">
        <v>18</v>
      </c>
      <c r="P16" s="33">
        <v>14</v>
      </c>
      <c r="Q16" s="33">
        <v>22</v>
      </c>
      <c r="R16" s="18">
        <v>1.4999999999999999E-2</v>
      </c>
      <c r="S16" s="18">
        <v>0.3</v>
      </c>
      <c r="T16" s="18">
        <v>0.02</v>
      </c>
      <c r="U16">
        <f t="shared" si="0"/>
        <v>100</v>
      </c>
      <c r="V16">
        <f t="shared" si="1"/>
        <v>55</v>
      </c>
      <c r="W16">
        <f t="shared" si="2"/>
        <v>55</v>
      </c>
      <c r="X16">
        <f t="shared" si="3"/>
        <v>72</v>
      </c>
      <c r="Y16">
        <f t="shared" si="4"/>
        <v>72</v>
      </c>
      <c r="Z16">
        <f t="shared" si="5"/>
        <v>85</v>
      </c>
      <c r="AA16">
        <f t="shared" si="6"/>
        <v>52</v>
      </c>
      <c r="AB16">
        <f t="shared" si="7"/>
        <v>18</v>
      </c>
      <c r="AC16">
        <f t="shared" si="8"/>
        <v>85</v>
      </c>
      <c r="AD16">
        <f t="shared" si="9"/>
        <v>68</v>
      </c>
      <c r="AE16">
        <f t="shared" si="10"/>
        <v>85</v>
      </c>
      <c r="AF16">
        <f t="shared" si="11"/>
        <v>100</v>
      </c>
      <c r="AG16">
        <f t="shared" si="12"/>
        <v>82</v>
      </c>
      <c r="AH16">
        <f t="shared" si="13"/>
        <v>82</v>
      </c>
      <c r="AI16">
        <f t="shared" si="14"/>
        <v>82</v>
      </c>
      <c r="AJ16">
        <f t="shared" si="15"/>
        <v>62</v>
      </c>
      <c r="AK16">
        <f t="shared" si="16"/>
        <v>85</v>
      </c>
      <c r="AL16">
        <f t="shared" si="17"/>
        <v>68</v>
      </c>
      <c r="AM16">
        <f t="shared" si="18"/>
        <v>70.75</v>
      </c>
      <c r="AN16">
        <f t="shared" si="19"/>
        <v>75.25</v>
      </c>
      <c r="AO16">
        <f t="shared" si="20"/>
        <v>53.349999999999994</v>
      </c>
      <c r="AP16">
        <f t="shared" si="21"/>
        <v>81.95</v>
      </c>
      <c r="AQ16">
        <f t="shared" si="22"/>
        <v>82</v>
      </c>
      <c r="AR16">
        <f t="shared" si="23"/>
        <v>68.7</v>
      </c>
      <c r="AS16">
        <f t="shared" si="24"/>
        <v>71</v>
      </c>
      <c r="AT16" s="15">
        <v>2</v>
      </c>
      <c r="AU16" s="15">
        <v>2</v>
      </c>
      <c r="AV16" s="15">
        <v>2</v>
      </c>
      <c r="AW16">
        <f t="shared" si="25"/>
        <v>6</v>
      </c>
      <c r="AX16" s="38" t="e" vm="13">
        <v>#VALUE!</v>
      </c>
      <c r="AY16" s="59" cm="1">
        <f t="array" aca="1" ref="AY16" ca="1">_FV(AX16,"PRECIO")</f>
        <v>268.05</v>
      </c>
      <c r="AZ16" s="60">
        <v>427</v>
      </c>
      <c r="BA16" s="55">
        <f>IFERROR(INDEX('DCF Simplified'!$Y$4:$Y$38,MATCH(A16,'DCF Simplified'!$A$4:$A$38,0)),"")</f>
        <v>1336.1903702913016</v>
      </c>
      <c r="BB16" s="58">
        <f t="shared" ca="1" si="26"/>
        <v>0.59298638313747432</v>
      </c>
      <c r="BD16">
        <v>-0.12</v>
      </c>
      <c r="BE16">
        <v>35</v>
      </c>
      <c r="BF16">
        <v>-0.25</v>
      </c>
      <c r="BG16">
        <f t="shared" si="27"/>
        <v>10</v>
      </c>
      <c r="BH16">
        <f t="shared" si="28"/>
        <v>55</v>
      </c>
      <c r="BI16">
        <f t="shared" si="29"/>
        <v>10</v>
      </c>
      <c r="BJ16">
        <f t="shared" si="30"/>
        <v>21.3</v>
      </c>
      <c r="BK16">
        <f t="shared" si="31"/>
        <v>59</v>
      </c>
      <c r="BL16" t="str">
        <f t="shared" si="32"/>
        <v>⚪ NEUTRAL</v>
      </c>
      <c r="BM16" s="50" t="str">
        <f t="shared" si="33"/>
        <v>⚠️ HOLD</v>
      </c>
    </row>
    <row r="17" spans="1:65" x14ac:dyDescent="0.4">
      <c r="A17" t="s">
        <v>128</v>
      </c>
      <c r="B17" t="s">
        <v>46</v>
      </c>
      <c r="C17" s="1">
        <v>0.17</v>
      </c>
      <c r="D17" s="1">
        <v>0.04</v>
      </c>
      <c r="E17" s="1">
        <v>0.33</v>
      </c>
      <c r="F17" s="1">
        <v>0.1</v>
      </c>
      <c r="G17" s="1">
        <v>0.22</v>
      </c>
      <c r="H17" s="33">
        <v>1.3</v>
      </c>
      <c r="I17" s="33">
        <v>-0.2</v>
      </c>
      <c r="J17" s="33">
        <v>0.3</v>
      </c>
      <c r="K17" s="34">
        <v>8</v>
      </c>
      <c r="L17" s="18">
        <v>0.25</v>
      </c>
      <c r="M17" s="33">
        <v>0.8</v>
      </c>
      <c r="N17" s="18">
        <v>0.03</v>
      </c>
      <c r="O17" s="33">
        <v>12</v>
      </c>
      <c r="P17" s="33">
        <v>10</v>
      </c>
      <c r="Q17" s="33">
        <v>14</v>
      </c>
      <c r="R17" s="18">
        <v>2.1999999999999999E-2</v>
      </c>
      <c r="S17" s="18">
        <v>0.28000000000000003</v>
      </c>
      <c r="T17" s="18">
        <v>0.04</v>
      </c>
      <c r="U17">
        <f t="shared" si="0"/>
        <v>88</v>
      </c>
      <c r="V17">
        <f t="shared" si="1"/>
        <v>35</v>
      </c>
      <c r="W17">
        <f t="shared" si="2"/>
        <v>100</v>
      </c>
      <c r="X17">
        <f t="shared" si="3"/>
        <v>85</v>
      </c>
      <c r="Y17">
        <f t="shared" si="4"/>
        <v>100</v>
      </c>
      <c r="Z17">
        <f t="shared" si="5"/>
        <v>85</v>
      </c>
      <c r="AA17">
        <f t="shared" si="6"/>
        <v>100</v>
      </c>
      <c r="AB17">
        <f t="shared" si="7"/>
        <v>0</v>
      </c>
      <c r="AC17">
        <f t="shared" si="8"/>
        <v>100</v>
      </c>
      <c r="AD17">
        <f t="shared" si="9"/>
        <v>100</v>
      </c>
      <c r="AE17">
        <f t="shared" si="10"/>
        <v>70</v>
      </c>
      <c r="AF17">
        <f t="shared" si="11"/>
        <v>85</v>
      </c>
      <c r="AG17">
        <f t="shared" si="12"/>
        <v>85</v>
      </c>
      <c r="AH17">
        <f t="shared" si="13"/>
        <v>85</v>
      </c>
      <c r="AI17">
        <f t="shared" si="14"/>
        <v>85</v>
      </c>
      <c r="AJ17">
        <f t="shared" si="15"/>
        <v>68</v>
      </c>
      <c r="AK17">
        <f t="shared" si="16"/>
        <v>55</v>
      </c>
      <c r="AL17">
        <f t="shared" si="17"/>
        <v>85</v>
      </c>
      <c r="AM17">
        <f t="shared" si="18"/>
        <v>73.05</v>
      </c>
      <c r="AN17">
        <f t="shared" si="19"/>
        <v>90.25</v>
      </c>
      <c r="AO17">
        <f t="shared" si="20"/>
        <v>70</v>
      </c>
      <c r="AP17">
        <f t="shared" si="21"/>
        <v>85.75</v>
      </c>
      <c r="AQ17">
        <f t="shared" si="22"/>
        <v>85</v>
      </c>
      <c r="AR17">
        <f t="shared" si="23"/>
        <v>71.349999999999994</v>
      </c>
      <c r="AS17">
        <f t="shared" si="24"/>
        <v>78</v>
      </c>
      <c r="AT17" s="15">
        <v>2</v>
      </c>
      <c r="AU17" s="15">
        <v>2</v>
      </c>
      <c r="AV17" s="15">
        <v>3</v>
      </c>
      <c r="AW17">
        <f t="shared" si="25"/>
        <v>7</v>
      </c>
      <c r="AX17" s="38" t="e" vm="14">
        <v>#VALUE!</v>
      </c>
      <c r="AY17" s="59" cm="1">
        <f t="array" aca="1" ref="AY17" ca="1">_FV(AX17,"PRECIO")</f>
        <v>291.66000000000003</v>
      </c>
      <c r="AZ17" s="60">
        <v>289</v>
      </c>
      <c r="BA17" s="55">
        <f>IFERROR(INDEX('DCF Simplified'!$Y$4:$Y$38,MATCH(A17,'DCF Simplified'!$A$4:$A$38,0)),"")</f>
        <v>397.27702375055333</v>
      </c>
      <c r="BB17" s="58">
        <f t="shared" ca="1" si="26"/>
        <v>-9.1202084619077858E-3</v>
      </c>
      <c r="BD17">
        <v>7.0000000000000007E-2</v>
      </c>
      <c r="BE17">
        <v>56</v>
      </c>
      <c r="BF17">
        <v>0.12</v>
      </c>
      <c r="BG17">
        <f t="shared" si="27"/>
        <v>80</v>
      </c>
      <c r="BH17">
        <f t="shared" si="28"/>
        <v>70</v>
      </c>
      <c r="BI17">
        <f t="shared" si="29"/>
        <v>80</v>
      </c>
      <c r="BJ17">
        <f t="shared" si="30"/>
        <v>77.5</v>
      </c>
      <c r="BK17">
        <f t="shared" si="31"/>
        <v>78</v>
      </c>
      <c r="BL17" t="str">
        <f t="shared" si="32"/>
        <v>🟡 FAVORABLE</v>
      </c>
      <c r="BM17" s="49" t="str">
        <f t="shared" si="33"/>
        <v>🚀 STRONG BUY</v>
      </c>
    </row>
    <row r="18" spans="1:65" x14ac:dyDescent="0.4">
      <c r="A18" t="s">
        <v>129</v>
      </c>
      <c r="B18" t="s">
        <v>50</v>
      </c>
      <c r="C18" s="1">
        <v>0.11600000000000001</v>
      </c>
      <c r="D18" s="1">
        <v>8.4000000000000005E-2</v>
      </c>
      <c r="E18" s="1">
        <v>9.0999999999999998E-2</v>
      </c>
      <c r="F18" s="1">
        <v>0.05</v>
      </c>
      <c r="G18" s="1">
        <v>-0.1</v>
      </c>
      <c r="H18" s="33">
        <v>0.9</v>
      </c>
      <c r="I18" s="33">
        <v>0.5</v>
      </c>
      <c r="J18" s="33">
        <v>1.1000000000000001</v>
      </c>
      <c r="K18" s="34">
        <v>12</v>
      </c>
      <c r="L18" s="18">
        <v>0.08</v>
      </c>
      <c r="M18" s="33">
        <v>0.85</v>
      </c>
      <c r="N18" s="18">
        <v>0.09</v>
      </c>
      <c r="O18" s="33">
        <v>15</v>
      </c>
      <c r="P18" s="33">
        <v>7</v>
      </c>
      <c r="Q18" s="33">
        <v>12</v>
      </c>
      <c r="R18" s="18">
        <v>4.4999999999999998E-2</v>
      </c>
      <c r="S18" s="18">
        <v>0.55000000000000004</v>
      </c>
      <c r="T18" s="18">
        <v>0.04</v>
      </c>
      <c r="U18">
        <f t="shared" si="0"/>
        <v>68</v>
      </c>
      <c r="V18">
        <f t="shared" si="1"/>
        <v>65</v>
      </c>
      <c r="W18">
        <f t="shared" si="2"/>
        <v>82</v>
      </c>
      <c r="X18">
        <f t="shared" si="3"/>
        <v>65</v>
      </c>
      <c r="Y18">
        <f t="shared" si="4"/>
        <v>8</v>
      </c>
      <c r="Z18">
        <f t="shared" si="5"/>
        <v>28</v>
      </c>
      <c r="AA18">
        <f t="shared" si="6"/>
        <v>82</v>
      </c>
      <c r="AB18">
        <f t="shared" si="7"/>
        <v>48</v>
      </c>
      <c r="AC18">
        <f t="shared" si="8"/>
        <v>100</v>
      </c>
      <c r="AD18">
        <f t="shared" si="9"/>
        <v>80</v>
      </c>
      <c r="AE18">
        <f t="shared" si="10"/>
        <v>80</v>
      </c>
      <c r="AF18">
        <f t="shared" si="11"/>
        <v>80</v>
      </c>
      <c r="AG18">
        <f t="shared" si="12"/>
        <v>48</v>
      </c>
      <c r="AH18">
        <f t="shared" si="13"/>
        <v>82</v>
      </c>
      <c r="AI18">
        <f t="shared" si="14"/>
        <v>80</v>
      </c>
      <c r="AJ18">
        <f t="shared" si="15"/>
        <v>85</v>
      </c>
      <c r="AK18">
        <f t="shared" si="16"/>
        <v>100</v>
      </c>
      <c r="AL18">
        <f t="shared" si="17"/>
        <v>80</v>
      </c>
      <c r="AM18">
        <f t="shared" si="18"/>
        <v>71.149999999999991</v>
      </c>
      <c r="AN18">
        <f t="shared" si="19"/>
        <v>35.799999999999997</v>
      </c>
      <c r="AO18">
        <f t="shared" si="20"/>
        <v>78.099999999999994</v>
      </c>
      <c r="AP18">
        <f t="shared" si="21"/>
        <v>80</v>
      </c>
      <c r="AQ18">
        <f t="shared" si="22"/>
        <v>69.5</v>
      </c>
      <c r="AR18">
        <f t="shared" si="23"/>
        <v>86.25</v>
      </c>
      <c r="AS18">
        <f t="shared" si="24"/>
        <v>71</v>
      </c>
      <c r="AT18" s="15">
        <v>0</v>
      </c>
      <c r="AU18" s="15">
        <v>1</v>
      </c>
      <c r="AV18" s="15">
        <v>1</v>
      </c>
      <c r="AW18">
        <f t="shared" si="25"/>
        <v>2</v>
      </c>
      <c r="AX18" s="38" t="e" vm="15">
        <v>#VALUE!</v>
      </c>
      <c r="AY18" s="59" cm="1">
        <f t="array" aca="1" ref="AY18" ca="1">_FV(AX18,"PRECIO")</f>
        <v>207.79</v>
      </c>
      <c r="AZ18" s="60">
        <v>171</v>
      </c>
      <c r="BA18" s="55">
        <f>IFERROR(INDEX('DCF Simplified'!$Y$4:$Y$38,MATCH(A18,'DCF Simplified'!$A$4:$A$38,0)),"")</f>
        <v>167.92357298804885</v>
      </c>
      <c r="BB18" s="58">
        <f t="shared" ca="1" si="26"/>
        <v>-0.17705375619615954</v>
      </c>
      <c r="BD18">
        <v>-0.06</v>
      </c>
      <c r="BE18">
        <v>43</v>
      </c>
      <c r="BF18">
        <v>-0.1</v>
      </c>
      <c r="BG18">
        <f t="shared" si="27"/>
        <v>25</v>
      </c>
      <c r="BH18">
        <f t="shared" si="28"/>
        <v>70</v>
      </c>
      <c r="BI18">
        <f t="shared" si="29"/>
        <v>25</v>
      </c>
      <c r="BJ18">
        <f t="shared" si="30"/>
        <v>36.299999999999997</v>
      </c>
      <c r="BK18">
        <f t="shared" si="31"/>
        <v>54</v>
      </c>
      <c r="BL18" t="str">
        <f t="shared" si="32"/>
        <v>🟠 WEAK</v>
      </c>
      <c r="BM18" s="51" t="str">
        <f t="shared" si="33"/>
        <v>🟠 UNDERWEIGHT</v>
      </c>
    </row>
    <row r="19" spans="1:65" x14ac:dyDescent="0.4">
      <c r="A19" t="s">
        <v>188</v>
      </c>
      <c r="B19" t="s">
        <v>44</v>
      </c>
      <c r="C19" s="1">
        <v>0.3</v>
      </c>
      <c r="D19" s="1">
        <v>0.22</v>
      </c>
      <c r="E19" s="1">
        <v>0.36</v>
      </c>
      <c r="F19" s="1">
        <v>0.15</v>
      </c>
      <c r="G19" s="1">
        <v>0.16</v>
      </c>
      <c r="H19" s="33">
        <v>1.8</v>
      </c>
      <c r="I19" s="33">
        <v>0.2</v>
      </c>
      <c r="J19" s="33">
        <v>1.35</v>
      </c>
      <c r="K19" s="34">
        <v>53</v>
      </c>
      <c r="L19" s="18">
        <v>0.35</v>
      </c>
      <c r="M19" s="33">
        <v>1.1000000000000001</v>
      </c>
      <c r="N19" s="18">
        <v>0.12</v>
      </c>
      <c r="O19" s="33">
        <v>34</v>
      </c>
      <c r="P19" s="33">
        <v>25</v>
      </c>
      <c r="Q19" s="33">
        <v>38</v>
      </c>
      <c r="R19" s="18">
        <v>7.0000000000000001E-3</v>
      </c>
      <c r="S19" s="18">
        <v>0.24</v>
      </c>
      <c r="T19" s="18">
        <v>0.02</v>
      </c>
      <c r="U19">
        <f t="shared" si="0"/>
        <v>100</v>
      </c>
      <c r="V19">
        <f t="shared" si="1"/>
        <v>88</v>
      </c>
      <c r="W19">
        <f t="shared" si="2"/>
        <v>100</v>
      </c>
      <c r="X19">
        <f t="shared" si="3"/>
        <v>72</v>
      </c>
      <c r="Y19">
        <f t="shared" si="4"/>
        <v>72</v>
      </c>
      <c r="Z19">
        <f t="shared" si="5"/>
        <v>85</v>
      </c>
      <c r="AA19">
        <f t="shared" si="6"/>
        <v>88</v>
      </c>
      <c r="AB19">
        <f t="shared" si="7"/>
        <v>52</v>
      </c>
      <c r="AC19">
        <f t="shared" si="8"/>
        <v>100</v>
      </c>
      <c r="AD19">
        <f t="shared" si="9"/>
        <v>100</v>
      </c>
      <c r="AE19">
        <f t="shared" si="10"/>
        <v>88</v>
      </c>
      <c r="AF19">
        <f t="shared" si="11"/>
        <v>52</v>
      </c>
      <c r="AG19">
        <f t="shared" si="12"/>
        <v>30</v>
      </c>
      <c r="AH19">
        <f t="shared" si="13"/>
        <v>48</v>
      </c>
      <c r="AI19">
        <f t="shared" si="14"/>
        <v>48</v>
      </c>
      <c r="AJ19">
        <f t="shared" si="15"/>
        <v>42</v>
      </c>
      <c r="AK19">
        <f t="shared" si="16"/>
        <v>55</v>
      </c>
      <c r="AL19">
        <f t="shared" si="17"/>
        <v>68</v>
      </c>
      <c r="AM19">
        <f t="shared" si="18"/>
        <v>95.8</v>
      </c>
      <c r="AN19">
        <f t="shared" si="19"/>
        <v>75.25</v>
      </c>
      <c r="AO19">
        <f t="shared" si="20"/>
        <v>81.400000000000006</v>
      </c>
      <c r="AP19">
        <f t="shared" si="21"/>
        <v>83.8</v>
      </c>
      <c r="AQ19">
        <f t="shared" si="22"/>
        <v>41.699999999999996</v>
      </c>
      <c r="AR19">
        <f t="shared" si="23"/>
        <v>53.7</v>
      </c>
      <c r="AS19">
        <f t="shared" si="24"/>
        <v>75</v>
      </c>
      <c r="AT19" s="12">
        <v>2</v>
      </c>
      <c r="AU19" s="12">
        <v>2</v>
      </c>
      <c r="AV19" s="12">
        <v>3</v>
      </c>
      <c r="AW19">
        <f t="shared" si="25"/>
        <v>7</v>
      </c>
      <c r="AX19" s="38" t="e" vm="16">
        <v>#VALUE!</v>
      </c>
      <c r="AY19" s="59" cm="1">
        <f t="array" aca="1" ref="AY19" ca="1">_FV(AX19,"PRECIO")</f>
        <v>365.97</v>
      </c>
      <c r="AZ19" s="60">
        <v>600</v>
      </c>
      <c r="BA19" s="55">
        <f>IFERROR(INDEX('DCF Simplified'!$Y$4:$Y$38,MATCH(A19,'DCF Simplified'!$A$4:$A$38,0)),"")</f>
        <v>477.56310177955828</v>
      </c>
      <c r="BB19" s="58">
        <f t="shared" ref="BB19:BB27" ca="1" si="34">IF(OR(AY19="",AZ19=""),"",(AZ19-AY19)/AY19)</f>
        <v>0.6394786457906384</v>
      </c>
      <c r="BD19">
        <v>0.05</v>
      </c>
      <c r="BE19">
        <v>53</v>
      </c>
      <c r="BF19">
        <v>0.1</v>
      </c>
      <c r="BG19">
        <f t="shared" si="27"/>
        <v>65</v>
      </c>
      <c r="BH19">
        <f t="shared" si="28"/>
        <v>70</v>
      </c>
      <c r="BI19">
        <f t="shared" si="29"/>
        <v>65</v>
      </c>
      <c r="BJ19">
        <f t="shared" si="30"/>
        <v>66.3</v>
      </c>
      <c r="BK19">
        <f t="shared" si="31"/>
        <v>65</v>
      </c>
      <c r="BL19" t="str">
        <f t="shared" si="32"/>
        <v>⚪ NEUTRAL</v>
      </c>
      <c r="BM19" s="52" t="str">
        <f t="shared" si="33"/>
        <v>✅ BUY</v>
      </c>
    </row>
    <row r="20" spans="1:65" x14ac:dyDescent="0.4">
      <c r="A20" t="s">
        <v>189</v>
      </c>
      <c r="B20" t="s">
        <v>46</v>
      </c>
      <c r="C20" s="1">
        <v>0.54</v>
      </c>
      <c r="D20" s="1">
        <v>0.28000000000000003</v>
      </c>
      <c r="E20" s="1">
        <v>0.54</v>
      </c>
      <c r="F20" s="1">
        <v>0.1</v>
      </c>
      <c r="G20" s="1">
        <v>0.15</v>
      </c>
      <c r="H20" s="33">
        <v>1.3</v>
      </c>
      <c r="I20" s="33">
        <v>0.3</v>
      </c>
      <c r="J20" s="33">
        <v>1.08</v>
      </c>
      <c r="K20" s="34">
        <v>40</v>
      </c>
      <c r="L20" s="18">
        <v>0.65</v>
      </c>
      <c r="M20" s="33">
        <v>0.95</v>
      </c>
      <c r="N20" s="18">
        <v>0.03</v>
      </c>
      <c r="O20" s="33">
        <v>27</v>
      </c>
      <c r="P20" s="33">
        <v>25</v>
      </c>
      <c r="Q20" s="33">
        <v>30</v>
      </c>
      <c r="R20" s="18">
        <v>8.0000000000000002E-3</v>
      </c>
      <c r="S20" s="18">
        <v>0.22</v>
      </c>
      <c r="T20" s="18">
        <v>0.04</v>
      </c>
      <c r="U20">
        <f t="shared" si="0"/>
        <v>100</v>
      </c>
      <c r="V20">
        <f t="shared" si="1"/>
        <v>100</v>
      </c>
      <c r="W20">
        <f t="shared" si="2"/>
        <v>100</v>
      </c>
      <c r="X20">
        <f t="shared" si="3"/>
        <v>85</v>
      </c>
      <c r="Y20">
        <f t="shared" si="4"/>
        <v>100</v>
      </c>
      <c r="Z20">
        <f t="shared" si="5"/>
        <v>85</v>
      </c>
      <c r="AA20">
        <f t="shared" si="6"/>
        <v>85</v>
      </c>
      <c r="AB20">
        <f t="shared" si="7"/>
        <v>70</v>
      </c>
      <c r="AC20">
        <f t="shared" si="8"/>
        <v>100</v>
      </c>
      <c r="AD20">
        <f t="shared" si="9"/>
        <v>100</v>
      </c>
      <c r="AE20">
        <f t="shared" si="10"/>
        <v>70</v>
      </c>
      <c r="AF20">
        <f t="shared" si="11"/>
        <v>85</v>
      </c>
      <c r="AG20">
        <f t="shared" si="12"/>
        <v>12</v>
      </c>
      <c r="AH20">
        <f t="shared" si="13"/>
        <v>12</v>
      </c>
      <c r="AI20">
        <f t="shared" si="14"/>
        <v>50</v>
      </c>
      <c r="AJ20">
        <f t="shared" si="15"/>
        <v>30</v>
      </c>
      <c r="AK20">
        <f t="shared" si="16"/>
        <v>0</v>
      </c>
      <c r="AL20">
        <f t="shared" si="17"/>
        <v>85</v>
      </c>
      <c r="AM20">
        <f t="shared" si="18"/>
        <v>100</v>
      </c>
      <c r="AN20">
        <f t="shared" si="19"/>
        <v>90.25</v>
      </c>
      <c r="AO20">
        <f t="shared" si="20"/>
        <v>85.75</v>
      </c>
      <c r="AP20">
        <f t="shared" si="21"/>
        <v>85.75</v>
      </c>
      <c r="AQ20">
        <f t="shared" si="22"/>
        <v>23.4</v>
      </c>
      <c r="AR20">
        <f t="shared" si="23"/>
        <v>43.25</v>
      </c>
      <c r="AS20">
        <f t="shared" si="24"/>
        <v>76</v>
      </c>
      <c r="AT20" s="12">
        <v>2</v>
      </c>
      <c r="AU20" s="12">
        <v>3</v>
      </c>
      <c r="AV20" s="12">
        <v>3</v>
      </c>
      <c r="AW20">
        <f t="shared" si="25"/>
        <v>8</v>
      </c>
      <c r="AX20" s="38" t="e" vm="17">
        <v>#VALUE!</v>
      </c>
      <c r="AY20" s="59" cm="1">
        <f t="array" aca="1" ref="AY20" ca="1">_FV(AX20,"PRECIO")</f>
        <v>305.52999999999997</v>
      </c>
      <c r="AZ20" s="60">
        <v>323</v>
      </c>
      <c r="BA20" s="55">
        <f>IFERROR(INDEX('DCF Simplified'!$Y$4:$Y$38,MATCH(A20,'DCF Simplified'!$A$4:$A$38,0)),"")</f>
        <v>310.70618091454639</v>
      </c>
      <c r="BB20" s="58">
        <f t="shared" ca="1" si="34"/>
        <v>5.7179327725591686E-2</v>
      </c>
      <c r="BD20">
        <v>0.03</v>
      </c>
      <c r="BE20">
        <v>51</v>
      </c>
      <c r="BF20">
        <v>0.06</v>
      </c>
      <c r="BG20">
        <f t="shared" si="27"/>
        <v>65</v>
      </c>
      <c r="BH20">
        <f t="shared" si="28"/>
        <v>70</v>
      </c>
      <c r="BI20">
        <f t="shared" si="29"/>
        <v>65</v>
      </c>
      <c r="BJ20">
        <f t="shared" si="30"/>
        <v>66.3</v>
      </c>
      <c r="BK20">
        <f t="shared" si="31"/>
        <v>64</v>
      </c>
      <c r="BL20" t="str">
        <f t="shared" si="32"/>
        <v>⚪ NEUTRAL</v>
      </c>
      <c r="BM20" s="50" t="str">
        <f t="shared" si="33"/>
        <v>⚠️ HOLD</v>
      </c>
    </row>
    <row r="21" spans="1:65" x14ac:dyDescent="0.4">
      <c r="A21" t="s">
        <v>190</v>
      </c>
      <c r="B21" t="s">
        <v>45</v>
      </c>
      <c r="C21" s="1">
        <v>0.78</v>
      </c>
      <c r="D21" s="1">
        <v>0.42</v>
      </c>
      <c r="E21" s="1">
        <v>0.32</v>
      </c>
      <c r="F21" s="1">
        <v>0.45</v>
      </c>
      <c r="G21" s="1">
        <v>0.96</v>
      </c>
      <c r="H21" s="33">
        <v>2.5</v>
      </c>
      <c r="I21" s="33">
        <v>1.5</v>
      </c>
      <c r="J21" s="33">
        <v>1.1000000000000001</v>
      </c>
      <c r="K21" s="34">
        <v>12</v>
      </c>
      <c r="L21" s="18">
        <v>0.22</v>
      </c>
      <c r="M21" s="33">
        <v>0.81</v>
      </c>
      <c r="N21" s="18">
        <v>0.1</v>
      </c>
      <c r="O21" s="33">
        <v>47</v>
      </c>
      <c r="P21" s="33">
        <v>38</v>
      </c>
      <c r="Q21" s="33">
        <v>55</v>
      </c>
      <c r="R21" s="18">
        <v>7.0000000000000001E-3</v>
      </c>
      <c r="S21" s="18">
        <v>0.3</v>
      </c>
      <c r="T21" s="18">
        <v>0.03</v>
      </c>
      <c r="U21">
        <f t="shared" si="0"/>
        <v>100</v>
      </c>
      <c r="V21">
        <f t="shared" si="1"/>
        <v>100</v>
      </c>
      <c r="W21">
        <f t="shared" si="2"/>
        <v>100</v>
      </c>
      <c r="X21">
        <f t="shared" si="3"/>
        <v>100</v>
      </c>
      <c r="Y21">
        <f t="shared" si="4"/>
        <v>100</v>
      </c>
      <c r="Z21">
        <f t="shared" si="5"/>
        <v>100</v>
      </c>
      <c r="AA21">
        <f t="shared" si="6"/>
        <v>70</v>
      </c>
      <c r="AB21">
        <f t="shared" si="7"/>
        <v>35</v>
      </c>
      <c r="AC21">
        <f t="shared" si="8"/>
        <v>85</v>
      </c>
      <c r="AD21">
        <f t="shared" si="9"/>
        <v>100</v>
      </c>
      <c r="AE21">
        <f t="shared" si="10"/>
        <v>70</v>
      </c>
      <c r="AF21">
        <f t="shared" si="11"/>
        <v>70</v>
      </c>
      <c r="AG21">
        <f t="shared" si="12"/>
        <v>12</v>
      </c>
      <c r="AH21">
        <f t="shared" si="13"/>
        <v>12</v>
      </c>
      <c r="AI21">
        <f t="shared" si="14"/>
        <v>28</v>
      </c>
      <c r="AJ21">
        <f t="shared" si="15"/>
        <v>42</v>
      </c>
      <c r="AK21">
        <f t="shared" si="16"/>
        <v>85</v>
      </c>
      <c r="AL21">
        <f t="shared" si="17"/>
        <v>85</v>
      </c>
      <c r="AM21">
        <f t="shared" si="18"/>
        <v>100</v>
      </c>
      <c r="AN21">
        <f t="shared" si="19"/>
        <v>100</v>
      </c>
      <c r="AO21">
        <f t="shared" si="20"/>
        <v>64.75</v>
      </c>
      <c r="AP21">
        <f t="shared" si="21"/>
        <v>82</v>
      </c>
      <c r="AQ21">
        <f t="shared" si="22"/>
        <v>16.799999999999997</v>
      </c>
      <c r="AR21">
        <f t="shared" si="23"/>
        <v>65.650000000000006</v>
      </c>
      <c r="AS21">
        <f t="shared" si="24"/>
        <v>78</v>
      </c>
      <c r="AT21" s="12">
        <v>3</v>
      </c>
      <c r="AU21" s="12">
        <v>2</v>
      </c>
      <c r="AV21" s="12">
        <v>3</v>
      </c>
      <c r="AW21">
        <f t="shared" si="25"/>
        <v>8</v>
      </c>
      <c r="AX21" s="38" t="e" vm="18">
        <v>#VALUE!</v>
      </c>
      <c r="AY21" s="59" cm="1">
        <f t="array" aca="1" ref="AY21" ca="1">_FV(AX21,"PRECIO")</f>
        <v>897</v>
      </c>
      <c r="AZ21" s="60">
        <v>870</v>
      </c>
      <c r="BA21" s="55">
        <f>IFERROR(INDEX('DCF Simplified'!$Y$4:$Y$38,MATCH(A21,'DCF Simplified'!$A$4:$A$38,0)),"")</f>
        <v>359.44534690636056</v>
      </c>
      <c r="BB21" s="58">
        <f t="shared" ca="1" si="34"/>
        <v>-3.0100334448160536E-2</v>
      </c>
      <c r="BD21">
        <v>0.15</v>
      </c>
      <c r="BE21">
        <v>65</v>
      </c>
      <c r="BF21">
        <v>0.28000000000000003</v>
      </c>
      <c r="BG21">
        <f t="shared" si="27"/>
        <v>100</v>
      </c>
      <c r="BH21">
        <f t="shared" si="28"/>
        <v>85</v>
      </c>
      <c r="BI21">
        <f t="shared" si="29"/>
        <v>100</v>
      </c>
      <c r="BJ21">
        <f t="shared" si="30"/>
        <v>96.3</v>
      </c>
      <c r="BK21">
        <f t="shared" si="31"/>
        <v>71</v>
      </c>
      <c r="BL21" t="str">
        <f t="shared" si="32"/>
        <v>🟡 FAVORABLE</v>
      </c>
      <c r="BM21" s="52" t="str">
        <f t="shared" si="33"/>
        <v>✅ BUY</v>
      </c>
    </row>
    <row r="22" spans="1:65" x14ac:dyDescent="0.4">
      <c r="A22" t="s">
        <v>191</v>
      </c>
      <c r="B22" t="s">
        <v>47</v>
      </c>
      <c r="C22" s="1">
        <v>-1.8</v>
      </c>
      <c r="D22" s="1">
        <v>0.18</v>
      </c>
      <c r="E22" s="1">
        <v>0.31</v>
      </c>
      <c r="F22" s="1">
        <v>0.05</v>
      </c>
      <c r="G22" s="1">
        <v>0.06</v>
      </c>
      <c r="H22" s="33">
        <v>0.8</v>
      </c>
      <c r="I22" s="33">
        <v>3.5</v>
      </c>
      <c r="J22" s="33">
        <v>1.6</v>
      </c>
      <c r="K22" s="34">
        <v>8</v>
      </c>
      <c r="L22" s="18">
        <v>0.28000000000000003</v>
      </c>
      <c r="M22" s="33">
        <v>0.9</v>
      </c>
      <c r="N22" s="18">
        <v>7.0000000000000007E-2</v>
      </c>
      <c r="O22" s="33">
        <v>24</v>
      </c>
      <c r="P22" s="33">
        <v>18</v>
      </c>
      <c r="Q22" s="33">
        <v>26</v>
      </c>
      <c r="R22" s="18">
        <v>2.4E-2</v>
      </c>
      <c r="S22" s="18">
        <v>0.55000000000000004</v>
      </c>
      <c r="T22" s="18">
        <v>0.03</v>
      </c>
      <c r="U22">
        <f t="shared" si="0"/>
        <v>0</v>
      </c>
      <c r="V22">
        <f t="shared" si="1"/>
        <v>88</v>
      </c>
      <c r="W22">
        <f t="shared" si="2"/>
        <v>100</v>
      </c>
      <c r="X22">
        <f t="shared" si="3"/>
        <v>50</v>
      </c>
      <c r="Y22">
        <f t="shared" si="4"/>
        <v>68</v>
      </c>
      <c r="Z22">
        <f t="shared" si="5"/>
        <v>35</v>
      </c>
      <c r="AA22">
        <f t="shared" si="6"/>
        <v>32</v>
      </c>
      <c r="AB22">
        <f t="shared" si="7"/>
        <v>85</v>
      </c>
      <c r="AC22">
        <f t="shared" si="8"/>
        <v>85</v>
      </c>
      <c r="AD22">
        <f t="shared" si="9"/>
        <v>100</v>
      </c>
      <c r="AE22">
        <f t="shared" si="10"/>
        <v>70</v>
      </c>
      <c r="AF22">
        <f t="shared" si="11"/>
        <v>70</v>
      </c>
      <c r="AG22">
        <f t="shared" si="12"/>
        <v>48</v>
      </c>
      <c r="AH22">
        <f t="shared" si="13"/>
        <v>48</v>
      </c>
      <c r="AI22">
        <f t="shared" si="14"/>
        <v>65</v>
      </c>
      <c r="AJ22">
        <f t="shared" si="15"/>
        <v>82</v>
      </c>
      <c r="AK22">
        <f t="shared" si="16"/>
        <v>100</v>
      </c>
      <c r="AL22">
        <f t="shared" si="17"/>
        <v>85</v>
      </c>
      <c r="AM22">
        <f t="shared" si="18"/>
        <v>60.8</v>
      </c>
      <c r="AN22">
        <f t="shared" si="19"/>
        <v>52.55</v>
      </c>
      <c r="AO22">
        <f t="shared" si="20"/>
        <v>66.45</v>
      </c>
      <c r="AP22">
        <f t="shared" si="21"/>
        <v>82</v>
      </c>
      <c r="AQ22">
        <f t="shared" si="22"/>
        <v>53.099999999999994</v>
      </c>
      <c r="AR22">
        <f t="shared" si="23"/>
        <v>86.649999999999991</v>
      </c>
      <c r="AS22">
        <f t="shared" si="24"/>
        <v>65</v>
      </c>
      <c r="AT22" s="12">
        <v>1</v>
      </c>
      <c r="AU22" s="12">
        <v>2</v>
      </c>
      <c r="AV22" s="12">
        <v>2</v>
      </c>
      <c r="AW22">
        <f t="shared" si="25"/>
        <v>5</v>
      </c>
      <c r="AX22" s="38" t="e" vm="19">
        <v>#VALUE!</v>
      </c>
      <c r="AY22" s="59" cm="1">
        <f t="array" aca="1" ref="AY22" ca="1">_FV(AX22,"PRECIO")</f>
        <v>308.93</v>
      </c>
      <c r="AZ22" s="60">
        <v>307</v>
      </c>
      <c r="BA22" s="55">
        <f>IFERROR(INDEX('DCF Simplified'!$Y$4:$Y$38,MATCH(A22,'DCF Simplified'!$A$4:$A$38,0)),"")</f>
        <v>218.25049050196327</v>
      </c>
      <c r="BB22" s="58">
        <f t="shared" ca="1" si="34"/>
        <v>-6.2473699543586147E-3</v>
      </c>
      <c r="BD22">
        <v>0.02</v>
      </c>
      <c r="BE22">
        <v>49</v>
      </c>
      <c r="BF22">
        <v>0.04</v>
      </c>
      <c r="BG22">
        <f t="shared" si="27"/>
        <v>65</v>
      </c>
      <c r="BH22">
        <f t="shared" si="28"/>
        <v>70</v>
      </c>
      <c r="BI22">
        <f t="shared" si="29"/>
        <v>65</v>
      </c>
      <c r="BJ22">
        <f t="shared" si="30"/>
        <v>66.3</v>
      </c>
      <c r="BK22">
        <f t="shared" si="31"/>
        <v>61</v>
      </c>
      <c r="BL22" t="str">
        <f t="shared" si="32"/>
        <v>⚪ NEUTRAL</v>
      </c>
      <c r="BM22" s="50" t="str">
        <f t="shared" si="33"/>
        <v>⚠️ HOLD</v>
      </c>
    </row>
    <row r="23" spans="1:65" x14ac:dyDescent="0.4">
      <c r="A23" t="s">
        <v>192</v>
      </c>
      <c r="B23" t="s">
        <v>49</v>
      </c>
      <c r="C23" s="1">
        <v>0.3</v>
      </c>
      <c r="D23" s="1">
        <v>0.22</v>
      </c>
      <c r="E23" s="1">
        <v>2.8000000000000001E-2</v>
      </c>
      <c r="F23" s="1">
        <v>0.08</v>
      </c>
      <c r="G23" s="1">
        <v>0.14000000000000001</v>
      </c>
      <c r="H23" s="33">
        <v>1.5</v>
      </c>
      <c r="I23" s="33">
        <v>0.2</v>
      </c>
      <c r="J23" s="33">
        <v>1</v>
      </c>
      <c r="K23" s="34">
        <v>50</v>
      </c>
      <c r="L23" s="18">
        <v>0.04</v>
      </c>
      <c r="M23" s="33">
        <v>1.2</v>
      </c>
      <c r="N23" s="18">
        <v>0.02</v>
      </c>
      <c r="O23" s="33">
        <v>52</v>
      </c>
      <c r="P23" s="33">
        <v>36</v>
      </c>
      <c r="Q23" s="33">
        <v>60</v>
      </c>
      <c r="R23" s="18">
        <v>5.0000000000000001E-3</v>
      </c>
      <c r="S23" s="18">
        <v>0.26</v>
      </c>
      <c r="T23" s="18">
        <v>5.0000000000000001E-3</v>
      </c>
      <c r="U23">
        <f t="shared" si="0"/>
        <v>100</v>
      </c>
      <c r="V23">
        <f t="shared" si="1"/>
        <v>100</v>
      </c>
      <c r="W23">
        <f t="shared" si="2"/>
        <v>32</v>
      </c>
      <c r="X23">
        <f t="shared" si="3"/>
        <v>100</v>
      </c>
      <c r="Y23">
        <f t="shared" si="4"/>
        <v>100</v>
      </c>
      <c r="Z23">
        <f t="shared" si="5"/>
        <v>100</v>
      </c>
      <c r="AA23">
        <f t="shared" si="6"/>
        <v>85</v>
      </c>
      <c r="AB23">
        <f t="shared" si="7"/>
        <v>68</v>
      </c>
      <c r="AC23">
        <f t="shared" si="8"/>
        <v>100</v>
      </c>
      <c r="AD23">
        <f t="shared" si="9"/>
        <v>65</v>
      </c>
      <c r="AE23">
        <f t="shared" si="10"/>
        <v>100</v>
      </c>
      <c r="AF23">
        <f t="shared" si="11"/>
        <v>100</v>
      </c>
      <c r="AG23">
        <f t="shared" si="12"/>
        <v>0</v>
      </c>
      <c r="AH23">
        <f t="shared" si="13"/>
        <v>0</v>
      </c>
      <c r="AI23">
        <f t="shared" si="14"/>
        <v>8</v>
      </c>
      <c r="AJ23">
        <f t="shared" si="15"/>
        <v>30</v>
      </c>
      <c r="AK23">
        <f t="shared" si="16"/>
        <v>0</v>
      </c>
      <c r="AL23">
        <f t="shared" si="17"/>
        <v>28</v>
      </c>
      <c r="AM23">
        <f t="shared" si="18"/>
        <v>79.599999999999994</v>
      </c>
      <c r="AN23">
        <f t="shared" si="19"/>
        <v>100</v>
      </c>
      <c r="AO23">
        <f t="shared" si="20"/>
        <v>85.149999999999991</v>
      </c>
      <c r="AP23">
        <f t="shared" si="21"/>
        <v>86</v>
      </c>
      <c r="AQ23">
        <f t="shared" si="22"/>
        <v>2.4</v>
      </c>
      <c r="AR23">
        <f t="shared" si="23"/>
        <v>23.299999999999997</v>
      </c>
      <c r="AS23">
        <f t="shared" si="24"/>
        <v>61</v>
      </c>
      <c r="AT23" s="12">
        <v>1</v>
      </c>
      <c r="AU23" s="12">
        <v>2</v>
      </c>
      <c r="AV23" s="12">
        <v>1</v>
      </c>
      <c r="AW23">
        <f t="shared" si="25"/>
        <v>4</v>
      </c>
      <c r="AX23" s="38" t="e" vm="20">
        <v>#VALUE!</v>
      </c>
      <c r="AY23" s="59" cm="1">
        <f t="array" aca="1" ref="AY23" ca="1">_FV(AX23,"PRECIO")</f>
        <v>979.65</v>
      </c>
      <c r="AZ23" s="60">
        <v>650</v>
      </c>
      <c r="BA23" s="55">
        <f>IFERROR(INDEX('DCF Simplified'!$Y$4:$Y$38,MATCH(A23,'DCF Simplified'!$A$4:$A$38,0)),"")</f>
        <v>998.36921300015911</v>
      </c>
      <c r="BB23" s="58">
        <f t="shared" ca="1" si="34"/>
        <v>-0.33649772878068696</v>
      </c>
      <c r="BD23">
        <v>0.06</v>
      </c>
      <c r="BE23">
        <v>54</v>
      </c>
      <c r="BF23">
        <v>0.12</v>
      </c>
      <c r="BG23">
        <f t="shared" si="27"/>
        <v>80</v>
      </c>
      <c r="BH23">
        <f t="shared" si="28"/>
        <v>70</v>
      </c>
      <c r="BI23">
        <f t="shared" si="29"/>
        <v>80</v>
      </c>
      <c r="BJ23">
        <f t="shared" si="30"/>
        <v>77.5</v>
      </c>
      <c r="BK23">
        <f t="shared" si="31"/>
        <v>53</v>
      </c>
      <c r="BL23" t="str">
        <f t="shared" si="32"/>
        <v>🟠 WEAK</v>
      </c>
      <c r="BM23" s="51" t="str">
        <f t="shared" si="33"/>
        <v>🟠 UNDERWEIGHT</v>
      </c>
    </row>
    <row r="24" spans="1:65" x14ac:dyDescent="0.4">
      <c r="A24" t="s">
        <v>193</v>
      </c>
      <c r="B24" t="s">
        <v>53</v>
      </c>
      <c r="C24" s="1">
        <v>0.3</v>
      </c>
      <c r="D24" s="1">
        <v>0.05</v>
      </c>
      <c r="E24" s="1">
        <v>0.16</v>
      </c>
      <c r="F24" s="1">
        <v>0.04</v>
      </c>
      <c r="G24" s="1">
        <v>0.08</v>
      </c>
      <c r="H24" s="33">
        <v>0.7</v>
      </c>
      <c r="I24" s="33">
        <v>5.5</v>
      </c>
      <c r="J24" s="33">
        <v>0.5</v>
      </c>
      <c r="K24" s="34">
        <v>4</v>
      </c>
      <c r="L24" s="18">
        <v>0.35</v>
      </c>
      <c r="M24" s="33">
        <v>0.55000000000000004</v>
      </c>
      <c r="N24" s="18">
        <v>0.1</v>
      </c>
      <c r="O24" s="33">
        <v>38</v>
      </c>
      <c r="P24" s="33">
        <v>24</v>
      </c>
      <c r="Q24" s="33">
        <v>35</v>
      </c>
      <c r="R24" s="18">
        <v>3.2000000000000001E-2</v>
      </c>
      <c r="S24" s="18">
        <v>0.7</v>
      </c>
      <c r="T24" s="18">
        <v>5.0000000000000001E-3</v>
      </c>
      <c r="U24">
        <f t="shared" si="0"/>
        <v>100</v>
      </c>
      <c r="V24">
        <f t="shared" si="1"/>
        <v>65</v>
      </c>
      <c r="W24">
        <f t="shared" si="2"/>
        <v>100</v>
      </c>
      <c r="X24">
        <f t="shared" si="3"/>
        <v>65</v>
      </c>
      <c r="Y24">
        <f t="shared" si="4"/>
        <v>82</v>
      </c>
      <c r="Z24">
        <f t="shared" si="5"/>
        <v>48</v>
      </c>
      <c r="AA24">
        <f t="shared" si="6"/>
        <v>48</v>
      </c>
      <c r="AB24">
        <f t="shared" si="7"/>
        <v>28</v>
      </c>
      <c r="AC24">
        <f t="shared" si="8"/>
        <v>80</v>
      </c>
      <c r="AD24">
        <f t="shared" si="9"/>
        <v>100</v>
      </c>
      <c r="AE24">
        <f t="shared" si="10"/>
        <v>60</v>
      </c>
      <c r="AF24">
        <f t="shared" si="11"/>
        <v>78</v>
      </c>
      <c r="AG24">
        <f t="shared" si="12"/>
        <v>8</v>
      </c>
      <c r="AH24">
        <f t="shared" si="13"/>
        <v>45</v>
      </c>
      <c r="AI24">
        <f t="shared" si="14"/>
        <v>42</v>
      </c>
      <c r="AJ24">
        <f t="shared" si="15"/>
        <v>55</v>
      </c>
      <c r="AK24">
        <f t="shared" si="16"/>
        <v>100</v>
      </c>
      <c r="AL24">
        <f t="shared" si="17"/>
        <v>40</v>
      </c>
      <c r="AM24">
        <f t="shared" si="18"/>
        <v>87.75</v>
      </c>
      <c r="AN24">
        <f t="shared" si="19"/>
        <v>66.7</v>
      </c>
      <c r="AO24">
        <f t="shared" si="20"/>
        <v>53.199999999999996</v>
      </c>
      <c r="AP24">
        <f t="shared" si="21"/>
        <v>80.5</v>
      </c>
      <c r="AQ24">
        <f t="shared" si="22"/>
        <v>31.15</v>
      </c>
      <c r="AR24">
        <f t="shared" si="23"/>
        <v>58.75</v>
      </c>
      <c r="AS24">
        <f t="shared" si="24"/>
        <v>63</v>
      </c>
      <c r="AT24" s="12">
        <v>0</v>
      </c>
      <c r="AU24" s="12">
        <v>1</v>
      </c>
      <c r="AV24" s="12">
        <v>1</v>
      </c>
      <c r="AW24">
        <f t="shared" si="25"/>
        <v>2</v>
      </c>
      <c r="AX24" s="38" t="e" vm="21">
        <v>#VALUE!</v>
      </c>
      <c r="AY24" s="59" cm="1">
        <f t="array" aca="1" ref="AY24" ca="1">_FV(AX24,"PRECIO")</f>
        <v>168.92</v>
      </c>
      <c r="AZ24" s="60">
        <v>230</v>
      </c>
      <c r="BA24" s="55">
        <f>IFERROR(INDEX('DCF Simplified'!$Y$4:$Y$38,MATCH(A24,'DCF Simplified'!$A$4:$A$38,0)),"")</f>
        <v>238.42829082703952</v>
      </c>
      <c r="BB24" s="58">
        <f t="shared" ca="1" si="34"/>
        <v>0.36159128581577088</v>
      </c>
      <c r="BD24">
        <v>-0.05</v>
      </c>
      <c r="BE24">
        <v>42</v>
      </c>
      <c r="BF24">
        <v>-0.08</v>
      </c>
      <c r="BG24">
        <f t="shared" si="27"/>
        <v>25</v>
      </c>
      <c r="BH24">
        <f t="shared" si="28"/>
        <v>70</v>
      </c>
      <c r="BI24">
        <f t="shared" si="29"/>
        <v>45</v>
      </c>
      <c r="BJ24">
        <f t="shared" si="30"/>
        <v>43.3</v>
      </c>
      <c r="BK24">
        <f t="shared" si="31"/>
        <v>45</v>
      </c>
      <c r="BL24" t="str">
        <f t="shared" si="32"/>
        <v>🟠 WEAK</v>
      </c>
      <c r="BM24" s="51" t="str">
        <f t="shared" si="33"/>
        <v>🟠 UNDERWEIGHT</v>
      </c>
    </row>
    <row r="25" spans="1:65" x14ac:dyDescent="0.4">
      <c r="A25" t="s">
        <v>194</v>
      </c>
      <c r="B25" t="s">
        <v>52</v>
      </c>
      <c r="C25" s="1">
        <v>0.09</v>
      </c>
      <c r="D25" s="1">
        <v>0.04</v>
      </c>
      <c r="E25" s="1">
        <v>0.13</v>
      </c>
      <c r="F25" s="1">
        <v>0.04</v>
      </c>
      <c r="G25" s="1">
        <v>0.05</v>
      </c>
      <c r="H25" s="33">
        <v>0.8</v>
      </c>
      <c r="I25" s="33">
        <v>5</v>
      </c>
      <c r="J25" s="33">
        <v>0.6</v>
      </c>
      <c r="K25" s="34">
        <v>3</v>
      </c>
      <c r="L25" s="18">
        <v>0.1</v>
      </c>
      <c r="M25" s="33">
        <v>0.7</v>
      </c>
      <c r="N25" s="18">
        <v>0.2</v>
      </c>
      <c r="O25" s="33">
        <v>19</v>
      </c>
      <c r="P25" s="33">
        <v>13</v>
      </c>
      <c r="Q25" s="33">
        <v>22</v>
      </c>
      <c r="R25" s="18">
        <v>3.7999999999999999E-2</v>
      </c>
      <c r="S25" s="18">
        <v>0.75</v>
      </c>
      <c r="T25" s="18">
        <v>5.0000000000000001E-3</v>
      </c>
      <c r="U25">
        <f t="shared" si="0"/>
        <v>68</v>
      </c>
      <c r="V25">
        <f t="shared" si="1"/>
        <v>48</v>
      </c>
      <c r="W25">
        <f t="shared" si="2"/>
        <v>100</v>
      </c>
      <c r="X25">
        <f t="shared" si="3"/>
        <v>82</v>
      </c>
      <c r="Y25">
        <f t="shared" si="4"/>
        <v>82</v>
      </c>
      <c r="Z25">
        <f t="shared" si="5"/>
        <v>48</v>
      </c>
      <c r="AA25">
        <f t="shared" si="6"/>
        <v>48</v>
      </c>
      <c r="AB25">
        <f t="shared" si="7"/>
        <v>48</v>
      </c>
      <c r="AC25">
        <f t="shared" si="8"/>
        <v>65</v>
      </c>
      <c r="AD25">
        <f t="shared" si="9"/>
        <v>100</v>
      </c>
      <c r="AE25">
        <f t="shared" si="10"/>
        <v>78</v>
      </c>
      <c r="AF25">
        <f t="shared" si="11"/>
        <v>60</v>
      </c>
      <c r="AG25">
        <f t="shared" si="12"/>
        <v>45</v>
      </c>
      <c r="AH25">
        <f t="shared" si="13"/>
        <v>62</v>
      </c>
      <c r="AI25">
        <f t="shared" si="14"/>
        <v>60</v>
      </c>
      <c r="AJ25">
        <f t="shared" si="15"/>
        <v>72</v>
      </c>
      <c r="AK25">
        <f t="shared" si="16"/>
        <v>100</v>
      </c>
      <c r="AL25">
        <f t="shared" si="17"/>
        <v>40</v>
      </c>
      <c r="AM25">
        <f t="shared" si="18"/>
        <v>70.599999999999994</v>
      </c>
      <c r="AN25">
        <f t="shared" si="19"/>
        <v>73.5</v>
      </c>
      <c r="AO25">
        <f t="shared" si="20"/>
        <v>53.949999999999996</v>
      </c>
      <c r="AP25">
        <f t="shared" si="21"/>
        <v>82.3</v>
      </c>
      <c r="AQ25">
        <f t="shared" si="22"/>
        <v>55.449999999999996</v>
      </c>
      <c r="AR25">
        <f t="shared" si="23"/>
        <v>66.400000000000006</v>
      </c>
      <c r="AS25">
        <f t="shared" si="24"/>
        <v>65</v>
      </c>
      <c r="AT25" s="12">
        <v>1</v>
      </c>
      <c r="AU25" s="12">
        <v>1</v>
      </c>
      <c r="AV25" s="12">
        <v>1</v>
      </c>
      <c r="AW25">
        <f t="shared" si="25"/>
        <v>3</v>
      </c>
      <c r="AX25" s="38" t="e" vm="22">
        <v>#VALUE!</v>
      </c>
      <c r="AY25" s="59" cm="1">
        <f t="array" aca="1" ref="AY25" ca="1">_FV(AX25,"PRECIO")</f>
        <v>129.38</v>
      </c>
      <c r="AZ25" s="60">
        <v>131</v>
      </c>
      <c r="BA25" s="55">
        <f>IFERROR(INDEX('DCF Simplified'!$Y$4:$Y$38,MATCH(A25,'DCF Simplified'!$A$4:$A$38,0)),"")</f>
        <v>130.61248641544245</v>
      </c>
      <c r="BB25" s="58">
        <f t="shared" ca="1" si="34"/>
        <v>1.2521255217189709E-2</v>
      </c>
      <c r="BD25">
        <v>0.03</v>
      </c>
      <c r="BE25">
        <v>50</v>
      </c>
      <c r="BF25">
        <v>0.05</v>
      </c>
      <c r="BG25">
        <f t="shared" si="27"/>
        <v>65</v>
      </c>
      <c r="BH25">
        <f t="shared" si="28"/>
        <v>70</v>
      </c>
      <c r="BI25">
        <f t="shared" si="29"/>
        <v>65</v>
      </c>
      <c r="BJ25">
        <f t="shared" si="30"/>
        <v>66.3</v>
      </c>
      <c r="BK25">
        <f t="shared" si="31"/>
        <v>58</v>
      </c>
      <c r="BL25" t="str">
        <f t="shared" si="32"/>
        <v>⚪ NEUTRAL</v>
      </c>
      <c r="BM25" s="50" t="str">
        <f t="shared" si="33"/>
        <v>⚠️ HOLD</v>
      </c>
    </row>
    <row r="26" spans="1:65" x14ac:dyDescent="0.4">
      <c r="A26" t="s">
        <v>195</v>
      </c>
      <c r="B26" t="s">
        <v>0</v>
      </c>
      <c r="C26" s="1">
        <v>0.45</v>
      </c>
      <c r="D26" s="1">
        <v>0.14000000000000001</v>
      </c>
      <c r="E26" s="1">
        <v>0.27</v>
      </c>
      <c r="F26" s="1">
        <v>0.03</v>
      </c>
      <c r="G26" s="1">
        <v>0.04</v>
      </c>
      <c r="H26" s="33">
        <v>1</v>
      </c>
      <c r="I26" s="33">
        <v>2.8</v>
      </c>
      <c r="J26" s="33">
        <v>0.7</v>
      </c>
      <c r="K26" s="34">
        <v>8</v>
      </c>
      <c r="L26" s="18">
        <v>0.15</v>
      </c>
      <c r="M26" s="33">
        <v>0.85</v>
      </c>
      <c r="N26" s="18">
        <v>0.17</v>
      </c>
      <c r="O26" s="33">
        <v>22</v>
      </c>
      <c r="P26" s="33">
        <v>15</v>
      </c>
      <c r="Q26" s="33">
        <v>24</v>
      </c>
      <c r="R26" s="18">
        <v>2.1999999999999999E-2</v>
      </c>
      <c r="S26" s="18">
        <v>0.45</v>
      </c>
      <c r="T26" s="18">
        <v>0.05</v>
      </c>
      <c r="U26">
        <f t="shared" si="0"/>
        <v>100</v>
      </c>
      <c r="V26">
        <f t="shared" si="1"/>
        <v>85</v>
      </c>
      <c r="W26">
        <f t="shared" si="2"/>
        <v>100</v>
      </c>
      <c r="X26">
        <f t="shared" si="3"/>
        <v>50</v>
      </c>
      <c r="Y26">
        <f t="shared" si="4"/>
        <v>50</v>
      </c>
      <c r="Z26">
        <f t="shared" si="5"/>
        <v>50</v>
      </c>
      <c r="AA26">
        <f t="shared" si="6"/>
        <v>50</v>
      </c>
      <c r="AB26">
        <f t="shared" si="7"/>
        <v>15</v>
      </c>
      <c r="AC26">
        <f t="shared" si="8"/>
        <v>82</v>
      </c>
      <c r="AD26">
        <f t="shared" si="9"/>
        <v>100</v>
      </c>
      <c r="AE26">
        <f t="shared" si="10"/>
        <v>68</v>
      </c>
      <c r="AF26">
        <f t="shared" si="11"/>
        <v>28</v>
      </c>
      <c r="AG26">
        <f t="shared" si="12"/>
        <v>48</v>
      </c>
      <c r="AH26">
        <f t="shared" si="13"/>
        <v>48</v>
      </c>
      <c r="AI26">
        <f t="shared" si="14"/>
        <v>65</v>
      </c>
      <c r="AJ26">
        <f t="shared" si="15"/>
        <v>65</v>
      </c>
      <c r="AK26">
        <f t="shared" si="16"/>
        <v>100</v>
      </c>
      <c r="AL26">
        <f t="shared" si="17"/>
        <v>100</v>
      </c>
      <c r="AM26">
        <f t="shared" si="18"/>
        <v>94.75</v>
      </c>
      <c r="AN26">
        <f t="shared" si="19"/>
        <v>50</v>
      </c>
      <c r="AO26">
        <f t="shared" si="20"/>
        <v>50.7</v>
      </c>
      <c r="AP26">
        <f t="shared" si="21"/>
        <v>70.8</v>
      </c>
      <c r="AQ26">
        <f t="shared" si="22"/>
        <v>53.099999999999994</v>
      </c>
      <c r="AR26">
        <f t="shared" si="23"/>
        <v>84.25</v>
      </c>
      <c r="AS26">
        <f t="shared" si="24"/>
        <v>66</v>
      </c>
      <c r="AT26" s="12">
        <v>1</v>
      </c>
      <c r="AU26" s="12">
        <v>2</v>
      </c>
      <c r="AV26" s="12">
        <v>2</v>
      </c>
      <c r="AW26">
        <f t="shared" si="25"/>
        <v>5</v>
      </c>
      <c r="AX26" s="38" t="e" vm="23">
        <v>#VALUE!</v>
      </c>
      <c r="AY26" s="59" cm="1">
        <f t="array" aca="1" ref="AY26" ca="1">_FV(AX26,"PRECIO")</f>
        <v>239.19</v>
      </c>
      <c r="AZ26" s="60">
        <v>216</v>
      </c>
      <c r="BA26" s="55">
        <f>IFERROR(INDEX('DCF Simplified'!$Y$4:$Y$38,MATCH(A26,'DCF Simplified'!$A$4:$A$38,0)),"")</f>
        <v>114.27234511891905</v>
      </c>
      <c r="BB26" s="58">
        <f t="shared" ca="1" si="34"/>
        <v>-9.695221372130941E-2</v>
      </c>
      <c r="BD26">
        <v>-0.03</v>
      </c>
      <c r="BE26">
        <v>46</v>
      </c>
      <c r="BF26">
        <v>-0.05</v>
      </c>
      <c r="BG26">
        <f t="shared" si="27"/>
        <v>45</v>
      </c>
      <c r="BH26">
        <f t="shared" si="28"/>
        <v>70</v>
      </c>
      <c r="BI26">
        <f t="shared" si="29"/>
        <v>45</v>
      </c>
      <c r="BJ26">
        <f t="shared" si="30"/>
        <v>51.3</v>
      </c>
      <c r="BK26">
        <f t="shared" si="31"/>
        <v>57</v>
      </c>
      <c r="BL26" t="str">
        <f t="shared" si="32"/>
        <v>⚪ NEUTRAL</v>
      </c>
      <c r="BM26" s="50" t="str">
        <f t="shared" si="33"/>
        <v>⚠️ HOLD</v>
      </c>
    </row>
    <row r="27" spans="1:65" x14ac:dyDescent="0.4">
      <c r="A27" t="s">
        <v>196</v>
      </c>
      <c r="B27" t="s">
        <v>51</v>
      </c>
      <c r="C27" s="1">
        <v>0.22</v>
      </c>
      <c r="D27" s="1">
        <v>0.12</v>
      </c>
      <c r="E27" s="1">
        <v>0.14000000000000001</v>
      </c>
      <c r="F27" s="1">
        <v>0.12</v>
      </c>
      <c r="G27" s="1">
        <v>0.15</v>
      </c>
      <c r="H27" s="33">
        <v>1.8</v>
      </c>
      <c r="I27" s="33">
        <v>0.8</v>
      </c>
      <c r="J27" s="33">
        <v>2.2000000000000002</v>
      </c>
      <c r="K27" s="34">
        <v>10</v>
      </c>
      <c r="L27" s="18">
        <v>0.1</v>
      </c>
      <c r="M27" s="33">
        <v>0.75</v>
      </c>
      <c r="N27" s="18">
        <v>0.18</v>
      </c>
      <c r="O27" s="33">
        <v>18</v>
      </c>
      <c r="P27" s="33">
        <v>8</v>
      </c>
      <c r="Q27" s="33">
        <v>16</v>
      </c>
      <c r="R27" s="18">
        <v>8.0000000000000002E-3</v>
      </c>
      <c r="S27" s="18">
        <v>0.15</v>
      </c>
      <c r="T27" s="18">
        <v>0.04</v>
      </c>
      <c r="U27">
        <f t="shared" si="0"/>
        <v>100</v>
      </c>
      <c r="V27">
        <f t="shared" si="1"/>
        <v>82</v>
      </c>
      <c r="W27">
        <f t="shared" si="2"/>
        <v>100</v>
      </c>
      <c r="X27">
        <f t="shared" si="3"/>
        <v>100</v>
      </c>
      <c r="Y27">
        <f t="shared" si="4"/>
        <v>82</v>
      </c>
      <c r="Z27">
        <f t="shared" si="5"/>
        <v>100</v>
      </c>
      <c r="AA27">
        <f t="shared" si="6"/>
        <v>82</v>
      </c>
      <c r="AB27">
        <f t="shared" si="7"/>
        <v>100</v>
      </c>
      <c r="AC27">
        <f t="shared" si="8"/>
        <v>100</v>
      </c>
      <c r="AD27">
        <f t="shared" si="9"/>
        <v>100</v>
      </c>
      <c r="AE27">
        <f t="shared" si="10"/>
        <v>62</v>
      </c>
      <c r="AF27">
        <f t="shared" si="11"/>
        <v>45</v>
      </c>
      <c r="AG27">
        <f t="shared" si="12"/>
        <v>48</v>
      </c>
      <c r="AH27">
        <f t="shared" si="13"/>
        <v>82</v>
      </c>
      <c r="AI27">
        <f t="shared" si="14"/>
        <v>62</v>
      </c>
      <c r="AJ27">
        <f t="shared" si="15"/>
        <v>28</v>
      </c>
      <c r="AK27">
        <f t="shared" si="16"/>
        <v>0</v>
      </c>
      <c r="AL27">
        <f t="shared" si="17"/>
        <v>100</v>
      </c>
      <c r="AM27">
        <f t="shared" si="18"/>
        <v>93.7</v>
      </c>
      <c r="AN27">
        <f t="shared" si="19"/>
        <v>93.7</v>
      </c>
      <c r="AO27">
        <f t="shared" si="20"/>
        <v>93.7</v>
      </c>
      <c r="AP27">
        <f t="shared" si="21"/>
        <v>72.95</v>
      </c>
      <c r="AQ27">
        <f t="shared" si="22"/>
        <v>64.099999999999994</v>
      </c>
      <c r="AR27">
        <f t="shared" si="23"/>
        <v>47.6</v>
      </c>
      <c r="AS27">
        <f t="shared" si="24"/>
        <v>81</v>
      </c>
      <c r="AT27" s="12">
        <v>2</v>
      </c>
      <c r="AU27" s="12">
        <v>2</v>
      </c>
      <c r="AV27" s="12">
        <v>2</v>
      </c>
      <c r="AW27">
        <f t="shared" si="25"/>
        <v>6</v>
      </c>
      <c r="AX27" s="38" t="e" vm="24">
        <v>#VALUE!</v>
      </c>
      <c r="AY27" s="59" cm="1">
        <f t="array" aca="1" ref="AY27" ca="1">_FV(AX27,"PRECIO")</f>
        <v>55.83</v>
      </c>
      <c r="AZ27" s="60">
        <v>30</v>
      </c>
      <c r="BA27" s="55">
        <f>IFERROR(INDEX('DCF Simplified'!$Y$4:$Y$38,MATCH(A27,'DCF Simplified'!$A$4:$A$38,0)),"")</f>
        <v>36.900240092019828</v>
      </c>
      <c r="BB27" s="58">
        <f t="shared" ca="1" si="34"/>
        <v>-0.46265448683503491</v>
      </c>
      <c r="BD27">
        <v>0.1</v>
      </c>
      <c r="BE27">
        <v>58</v>
      </c>
      <c r="BF27">
        <v>0.18</v>
      </c>
      <c r="BG27">
        <f t="shared" si="27"/>
        <v>80</v>
      </c>
      <c r="BH27">
        <f t="shared" si="28"/>
        <v>70</v>
      </c>
      <c r="BI27">
        <f t="shared" si="29"/>
        <v>80</v>
      </c>
      <c r="BJ27">
        <f t="shared" si="30"/>
        <v>77.5</v>
      </c>
      <c r="BK27">
        <f t="shared" si="31"/>
        <v>74</v>
      </c>
      <c r="BL27" t="str">
        <f t="shared" si="32"/>
        <v>🟡 FAVORABLE</v>
      </c>
      <c r="BM27" s="52" t="str">
        <f t="shared" si="33"/>
        <v>✅ BUY</v>
      </c>
    </row>
    <row r="28" spans="1:65" x14ac:dyDescent="0.4">
      <c r="A28" t="s">
        <v>197</v>
      </c>
      <c r="B28" t="s">
        <v>48</v>
      </c>
      <c r="C28" s="1">
        <v>0.18</v>
      </c>
      <c r="D28" s="1">
        <v>0.09</v>
      </c>
      <c r="E28" s="1">
        <v>0.14000000000000001</v>
      </c>
      <c r="F28" s="1">
        <v>0.03</v>
      </c>
      <c r="G28" s="1">
        <v>0.3</v>
      </c>
      <c r="H28" s="33">
        <v>1.2</v>
      </c>
      <c r="I28" s="33">
        <v>2.5</v>
      </c>
      <c r="J28" s="33">
        <v>0.8</v>
      </c>
      <c r="K28" s="34">
        <v>8</v>
      </c>
      <c r="L28" s="18">
        <v>0.18</v>
      </c>
      <c r="M28" s="33">
        <v>0.9</v>
      </c>
      <c r="N28" s="18">
        <v>0.09</v>
      </c>
      <c r="O28" s="33">
        <v>24</v>
      </c>
      <c r="P28" s="33">
        <v>12</v>
      </c>
      <c r="Q28" s="33">
        <v>20</v>
      </c>
      <c r="R28" s="18">
        <v>1.2E-2</v>
      </c>
      <c r="S28" s="18">
        <v>0.2</v>
      </c>
      <c r="T28" s="18">
        <v>0.02</v>
      </c>
      <c r="U28">
        <f t="shared" si="0"/>
        <v>88</v>
      </c>
      <c r="V28">
        <f t="shared" si="1"/>
        <v>55</v>
      </c>
      <c r="W28">
        <f t="shared" si="2"/>
        <v>68</v>
      </c>
      <c r="X28">
        <f t="shared" si="3"/>
        <v>50</v>
      </c>
      <c r="Y28">
        <f t="shared" si="4"/>
        <v>100</v>
      </c>
      <c r="Z28">
        <f t="shared" si="5"/>
        <v>70</v>
      </c>
      <c r="AA28">
        <f t="shared" si="6"/>
        <v>52</v>
      </c>
      <c r="AB28">
        <f t="shared" si="7"/>
        <v>35</v>
      </c>
      <c r="AC28">
        <f t="shared" si="8"/>
        <v>85</v>
      </c>
      <c r="AD28">
        <f t="shared" si="9"/>
        <v>100</v>
      </c>
      <c r="AE28">
        <f t="shared" si="10"/>
        <v>70</v>
      </c>
      <c r="AF28">
        <f t="shared" si="11"/>
        <v>70</v>
      </c>
      <c r="AG28">
        <f t="shared" si="12"/>
        <v>48</v>
      </c>
      <c r="AH28">
        <f t="shared" si="13"/>
        <v>82</v>
      </c>
      <c r="AI28">
        <f t="shared" si="14"/>
        <v>82</v>
      </c>
      <c r="AJ28">
        <f t="shared" si="15"/>
        <v>42</v>
      </c>
      <c r="AK28">
        <f t="shared" si="16"/>
        <v>52</v>
      </c>
      <c r="AL28">
        <f t="shared" si="17"/>
        <v>68</v>
      </c>
      <c r="AM28">
        <f t="shared" si="18"/>
        <v>70.449999999999989</v>
      </c>
      <c r="AN28">
        <f t="shared" si="19"/>
        <v>72.5</v>
      </c>
      <c r="AO28">
        <f t="shared" si="20"/>
        <v>58.449999999999996</v>
      </c>
      <c r="AP28">
        <f t="shared" si="21"/>
        <v>82</v>
      </c>
      <c r="AQ28">
        <f t="shared" si="22"/>
        <v>70.099999999999994</v>
      </c>
      <c r="AR28">
        <f t="shared" si="23"/>
        <v>53.1</v>
      </c>
      <c r="AS28">
        <f t="shared" si="24"/>
        <v>69</v>
      </c>
      <c r="AT28" s="12">
        <v>2</v>
      </c>
      <c r="AU28" s="12">
        <v>2</v>
      </c>
      <c r="AV28" s="12">
        <v>2</v>
      </c>
      <c r="AW28">
        <f t="shared" si="25"/>
        <v>6</v>
      </c>
      <c r="AX28" s="38" t="e" vm="25">
        <v>#VALUE!</v>
      </c>
      <c r="AY28" s="59" cm="1">
        <f t="array" aca="1" ref="AY28" ca="1">_FV(AX28,"PRECIO")</f>
        <v>211.59</v>
      </c>
      <c r="AZ28" s="60">
        <v>235</v>
      </c>
      <c r="BA28" s="55">
        <f>IFERROR(INDEX('DCF Simplified'!$Y$4:$Y$38,MATCH(A28,'DCF Simplified'!$A$4:$A$38,0)),"")</f>
        <v>402.91746555497036</v>
      </c>
      <c r="BB28" s="58">
        <v>-1.2E-2</v>
      </c>
      <c r="BD28">
        <v>0.04</v>
      </c>
      <c r="BE28">
        <v>52</v>
      </c>
      <c r="BF28">
        <v>0.08</v>
      </c>
      <c r="BG28">
        <f t="shared" si="27"/>
        <v>65</v>
      </c>
      <c r="BH28">
        <f t="shared" si="28"/>
        <v>70</v>
      </c>
      <c r="BI28">
        <f t="shared" si="29"/>
        <v>65</v>
      </c>
      <c r="BJ28">
        <f t="shared" si="30"/>
        <v>66.3</v>
      </c>
      <c r="BK28">
        <f t="shared" si="31"/>
        <v>67</v>
      </c>
      <c r="BL28" t="str">
        <f t="shared" si="32"/>
        <v>⚪ NEUTRAL</v>
      </c>
      <c r="BM28" s="52" t="str">
        <f t="shared" si="33"/>
        <v>✅ BUY</v>
      </c>
    </row>
    <row r="29" spans="1:65" x14ac:dyDescent="0.4">
      <c r="A29" t="s">
        <v>208</v>
      </c>
      <c r="B29" t="s">
        <v>48</v>
      </c>
      <c r="C29" s="1">
        <v>0.28000000000000003</v>
      </c>
      <c r="D29" s="1">
        <v>0.2</v>
      </c>
      <c r="E29" s="1">
        <v>0.3</v>
      </c>
      <c r="F29" s="1">
        <v>0.22</v>
      </c>
      <c r="G29" s="1">
        <v>0.35</v>
      </c>
      <c r="H29" s="33">
        <v>2</v>
      </c>
      <c r="I29" s="33">
        <v>-0.8</v>
      </c>
      <c r="J29" s="33">
        <v>2.7</v>
      </c>
      <c r="K29" s="34">
        <v>45</v>
      </c>
      <c r="L29" s="18">
        <v>0.32</v>
      </c>
      <c r="M29" s="33">
        <v>1.05</v>
      </c>
      <c r="N29" s="18">
        <v>0.15</v>
      </c>
      <c r="O29" s="33">
        <v>25</v>
      </c>
      <c r="P29" s="33">
        <v>18</v>
      </c>
      <c r="Q29" s="33">
        <v>28</v>
      </c>
      <c r="R29" s="18">
        <v>4.0000000000000001E-3</v>
      </c>
      <c r="S29" s="18">
        <v>0.1</v>
      </c>
      <c r="T29" s="18">
        <v>0.06</v>
      </c>
      <c r="U29">
        <f t="shared" si="0"/>
        <v>100</v>
      </c>
      <c r="V29">
        <f t="shared" si="1"/>
        <v>88</v>
      </c>
      <c r="W29">
        <f t="shared" si="2"/>
        <v>100</v>
      </c>
      <c r="X29">
        <f t="shared" si="3"/>
        <v>100</v>
      </c>
      <c r="Y29">
        <f t="shared" si="4"/>
        <v>100</v>
      </c>
      <c r="Z29">
        <f t="shared" si="5"/>
        <v>100</v>
      </c>
      <c r="AA29">
        <f t="shared" si="6"/>
        <v>100</v>
      </c>
      <c r="AB29">
        <f t="shared" si="7"/>
        <v>100</v>
      </c>
      <c r="AC29">
        <f t="shared" si="8"/>
        <v>100</v>
      </c>
      <c r="AD29">
        <f t="shared" si="9"/>
        <v>100</v>
      </c>
      <c r="AE29">
        <f t="shared" si="10"/>
        <v>85</v>
      </c>
      <c r="AF29">
        <f t="shared" si="11"/>
        <v>52</v>
      </c>
      <c r="AG29">
        <f t="shared" si="12"/>
        <v>48</v>
      </c>
      <c r="AH29">
        <f t="shared" si="13"/>
        <v>48</v>
      </c>
      <c r="AI29">
        <f t="shared" si="14"/>
        <v>65</v>
      </c>
      <c r="AJ29">
        <f t="shared" si="15"/>
        <v>22</v>
      </c>
      <c r="AK29">
        <f t="shared" si="16"/>
        <v>0</v>
      </c>
      <c r="AL29">
        <f t="shared" si="17"/>
        <v>100</v>
      </c>
      <c r="AM29">
        <f t="shared" ref="AM29:AM38" si="35">IF($B29="","",U29*0.35+V29*0.35+W29*0.3)</f>
        <v>95.8</v>
      </c>
      <c r="AN29">
        <f t="shared" ref="AN29:AN38" si="36">IF($B29="","",X29*0.4+Y29*0.35+Z29*0.25)</f>
        <v>100</v>
      </c>
      <c r="AO29">
        <f t="shared" ref="AO29:AO38" si="37">IF($B29="","",AA29*0.35+AB29*0.3+AC29*0.35)</f>
        <v>100</v>
      </c>
      <c r="AP29">
        <f t="shared" ref="AP29:AP38" si="38">IF($B29="","",AD29*0.4+AE29*0.35+AF29*0.25)</f>
        <v>82.75</v>
      </c>
      <c r="AQ29">
        <f t="shared" ref="AQ29:AQ38" si="39">IF($B29="","",AG29*0.35+AH29*0.35+AI29*0.3)</f>
        <v>53.099999999999994</v>
      </c>
      <c r="AR29">
        <f t="shared" si="23"/>
        <v>44.9</v>
      </c>
      <c r="AS29">
        <f t="shared" si="24"/>
        <v>84</v>
      </c>
      <c r="AT29" s="12">
        <v>2</v>
      </c>
      <c r="AU29" s="12">
        <v>2</v>
      </c>
      <c r="AV29" s="12">
        <v>3</v>
      </c>
      <c r="AW29">
        <f t="shared" si="25"/>
        <v>7</v>
      </c>
      <c r="AX29" s="38" t="e" vm="26">
        <v>#VALUE!</v>
      </c>
      <c r="AY29" s="59" cm="1">
        <f t="array" aca="1" ref="AY29" ca="1">_FV(AX29,"PRECIO")</f>
        <v>547.54</v>
      </c>
      <c r="AZ29" s="60">
        <v>850</v>
      </c>
      <c r="BA29" s="55">
        <f>IFERROR(INDEX('DCF Simplified'!$Y$4:$Y$38,MATCH(A29,'DCF Simplified'!$A$4:$A$38,0)),"")</f>
        <v>1053.7167785150984</v>
      </c>
      <c r="BB29" s="58">
        <f ca="1">IF(OR(AY29="",AZ29=""),"",(AZ29-AY29)/AY29)</f>
        <v>0.55239799831975755</v>
      </c>
      <c r="BD29">
        <v>0.18</v>
      </c>
      <c r="BE29">
        <v>68</v>
      </c>
      <c r="BF29">
        <v>0.4</v>
      </c>
      <c r="BG29">
        <f t="shared" si="27"/>
        <v>100</v>
      </c>
      <c r="BH29">
        <f t="shared" si="28"/>
        <v>85</v>
      </c>
      <c r="BI29">
        <f t="shared" si="29"/>
        <v>100</v>
      </c>
      <c r="BJ29">
        <f t="shared" si="30"/>
        <v>96.3</v>
      </c>
      <c r="BK29">
        <f t="shared" si="31"/>
        <v>79</v>
      </c>
      <c r="BL29" t="str">
        <f t="shared" si="32"/>
        <v>🟡 FAVORABLE</v>
      </c>
      <c r="BM29" s="49" t="str">
        <f t="shared" si="33"/>
        <v>🚀 STRONG BUY</v>
      </c>
    </row>
    <row r="30" spans="1:65" x14ac:dyDescent="0.4">
      <c r="A30" t="s">
        <v>209</v>
      </c>
      <c r="B30" t="s">
        <v>45</v>
      </c>
      <c r="C30" s="1">
        <v>0.6</v>
      </c>
      <c r="D30" s="1">
        <v>0.12</v>
      </c>
      <c r="E30" s="1">
        <v>0.17</v>
      </c>
      <c r="F30" s="1">
        <v>0.04</v>
      </c>
      <c r="G30" s="1">
        <v>-0.05</v>
      </c>
      <c r="H30" s="33">
        <v>0.9</v>
      </c>
      <c r="I30" s="33">
        <v>3.8</v>
      </c>
      <c r="J30" s="33">
        <v>0.85</v>
      </c>
      <c r="K30" s="34">
        <v>6</v>
      </c>
      <c r="L30" s="18">
        <v>0.28000000000000003</v>
      </c>
      <c r="M30" s="33">
        <v>0.95</v>
      </c>
      <c r="N30" s="18">
        <v>0.02</v>
      </c>
      <c r="O30" s="33">
        <v>16</v>
      </c>
      <c r="P30" s="33">
        <v>12</v>
      </c>
      <c r="Q30" s="33">
        <v>18</v>
      </c>
      <c r="R30" s="18">
        <v>3.3000000000000002E-2</v>
      </c>
      <c r="S30" s="18">
        <v>0.85</v>
      </c>
      <c r="T30" s="18">
        <v>0.02</v>
      </c>
      <c r="U30">
        <f t="shared" si="0"/>
        <v>100</v>
      </c>
      <c r="V30">
        <f t="shared" si="1"/>
        <v>72</v>
      </c>
      <c r="W30">
        <f t="shared" si="2"/>
        <v>88</v>
      </c>
      <c r="X30">
        <f t="shared" si="3"/>
        <v>35</v>
      </c>
      <c r="Y30">
        <f t="shared" si="4"/>
        <v>15</v>
      </c>
      <c r="Z30">
        <f t="shared" si="5"/>
        <v>52</v>
      </c>
      <c r="AA30">
        <f t="shared" si="6"/>
        <v>32</v>
      </c>
      <c r="AB30">
        <f t="shared" si="7"/>
        <v>18</v>
      </c>
      <c r="AC30">
        <f t="shared" si="8"/>
        <v>70</v>
      </c>
      <c r="AD30">
        <f t="shared" si="9"/>
        <v>100</v>
      </c>
      <c r="AE30">
        <f t="shared" si="10"/>
        <v>70</v>
      </c>
      <c r="AF30">
        <f t="shared" si="11"/>
        <v>100</v>
      </c>
      <c r="AG30">
        <f t="shared" si="12"/>
        <v>82</v>
      </c>
      <c r="AH30">
        <f t="shared" si="13"/>
        <v>82</v>
      </c>
      <c r="AI30">
        <f t="shared" si="14"/>
        <v>82</v>
      </c>
      <c r="AJ30">
        <f t="shared" si="15"/>
        <v>100</v>
      </c>
      <c r="AK30">
        <f t="shared" si="16"/>
        <v>100</v>
      </c>
      <c r="AL30">
        <f t="shared" si="17"/>
        <v>68</v>
      </c>
      <c r="AM30">
        <f t="shared" si="35"/>
        <v>86.6</v>
      </c>
      <c r="AN30">
        <f t="shared" si="36"/>
        <v>32.25</v>
      </c>
      <c r="AO30">
        <f t="shared" si="37"/>
        <v>41.099999999999994</v>
      </c>
      <c r="AP30">
        <f t="shared" si="38"/>
        <v>89.5</v>
      </c>
      <c r="AQ30">
        <f t="shared" si="39"/>
        <v>82</v>
      </c>
      <c r="AR30">
        <f t="shared" si="23"/>
        <v>88.8</v>
      </c>
      <c r="AS30">
        <f t="shared" si="24"/>
        <v>67</v>
      </c>
      <c r="AT30" s="12">
        <v>1</v>
      </c>
      <c r="AU30" s="12">
        <v>2</v>
      </c>
      <c r="AV30" s="12">
        <v>1</v>
      </c>
      <c r="AW30">
        <f t="shared" si="25"/>
        <v>4</v>
      </c>
      <c r="AX30" s="38" t="e" vm="27">
        <v>#VALUE!</v>
      </c>
      <c r="AY30" s="59" cm="1">
        <f t="array" aca="1" ref="AY30" ca="1">_FV(AX30,"PRECIO")</f>
        <v>211.12</v>
      </c>
      <c r="AZ30" s="60">
        <v>184</v>
      </c>
      <c r="BA30" s="55">
        <f>IFERROR(INDEX('DCF Simplified'!$Y$4:$Y$38,MATCH(A30,'DCF Simplified'!$A$4:$A$38,0)),"")</f>
        <v>245.41170260132131</v>
      </c>
      <c r="BB30" s="58">
        <f t="shared" ref="BB30:BB38" ca="1" si="40">IF(OR(AY30="",AZ30=""),"",(AZ30-AY30)/AY30)</f>
        <v>-0.12845774914740435</v>
      </c>
      <c r="BD30">
        <v>0.02</v>
      </c>
      <c r="BE30">
        <v>48</v>
      </c>
      <c r="BF30">
        <v>0.03</v>
      </c>
      <c r="BG30">
        <f t="shared" si="27"/>
        <v>65</v>
      </c>
      <c r="BH30">
        <f t="shared" si="28"/>
        <v>70</v>
      </c>
      <c r="BI30">
        <f t="shared" si="29"/>
        <v>65</v>
      </c>
      <c r="BJ30">
        <f t="shared" si="30"/>
        <v>66.3</v>
      </c>
      <c r="BK30">
        <f t="shared" si="31"/>
        <v>66</v>
      </c>
      <c r="BL30" t="str">
        <f t="shared" si="32"/>
        <v>⚪ NEUTRAL</v>
      </c>
      <c r="BM30" s="52" t="str">
        <f t="shared" si="33"/>
        <v>✅ BUY</v>
      </c>
    </row>
    <row r="31" spans="1:65" x14ac:dyDescent="0.4">
      <c r="A31" t="s">
        <v>210</v>
      </c>
      <c r="B31" t="s">
        <v>44</v>
      </c>
      <c r="C31" s="1">
        <v>0.3</v>
      </c>
      <c r="D31" s="1">
        <v>0.12</v>
      </c>
      <c r="E31" s="1">
        <v>0.3</v>
      </c>
      <c r="F31" s="1">
        <v>-0.04</v>
      </c>
      <c r="G31" s="1">
        <v>-0.12</v>
      </c>
      <c r="H31" s="33">
        <v>0.7</v>
      </c>
      <c r="I31" s="33">
        <v>1.8</v>
      </c>
      <c r="J31" s="33">
        <v>4.0999999999999996</v>
      </c>
      <c r="K31" s="34">
        <v>15</v>
      </c>
      <c r="L31" s="18">
        <v>0.25</v>
      </c>
      <c r="M31" s="33">
        <v>0.65</v>
      </c>
      <c r="N31" s="18">
        <v>0.18</v>
      </c>
      <c r="O31" s="33">
        <v>33</v>
      </c>
      <c r="P31" s="33">
        <v>23</v>
      </c>
      <c r="Q31" s="33">
        <v>35</v>
      </c>
      <c r="R31" s="18">
        <v>2.8000000000000001E-2</v>
      </c>
      <c r="S31" s="18">
        <v>0.72</v>
      </c>
      <c r="T31" s="18">
        <v>0.02</v>
      </c>
      <c r="U31">
        <f t="shared" si="0"/>
        <v>100</v>
      </c>
      <c r="V31">
        <f t="shared" si="1"/>
        <v>55</v>
      </c>
      <c r="W31">
        <f t="shared" si="2"/>
        <v>100</v>
      </c>
      <c r="X31">
        <f t="shared" si="3"/>
        <v>0</v>
      </c>
      <c r="Y31">
        <f t="shared" si="4"/>
        <v>0</v>
      </c>
      <c r="Z31">
        <f t="shared" si="5"/>
        <v>18</v>
      </c>
      <c r="AA31">
        <f t="shared" si="6"/>
        <v>55</v>
      </c>
      <c r="AB31">
        <f t="shared" si="7"/>
        <v>100</v>
      </c>
      <c r="AC31">
        <f t="shared" si="8"/>
        <v>85</v>
      </c>
      <c r="AD31">
        <f t="shared" si="9"/>
        <v>100</v>
      </c>
      <c r="AE31">
        <f t="shared" si="10"/>
        <v>35</v>
      </c>
      <c r="AF31">
        <f t="shared" si="11"/>
        <v>32</v>
      </c>
      <c r="AG31">
        <f t="shared" si="12"/>
        <v>30</v>
      </c>
      <c r="AH31">
        <f t="shared" si="13"/>
        <v>48</v>
      </c>
      <c r="AI31">
        <f t="shared" si="14"/>
        <v>48</v>
      </c>
      <c r="AJ31">
        <f t="shared" si="15"/>
        <v>82</v>
      </c>
      <c r="AK31">
        <f t="shared" si="16"/>
        <v>100</v>
      </c>
      <c r="AL31">
        <f t="shared" si="17"/>
        <v>68</v>
      </c>
      <c r="AM31">
        <f t="shared" si="35"/>
        <v>84.25</v>
      </c>
      <c r="AN31">
        <f t="shared" si="36"/>
        <v>4.5</v>
      </c>
      <c r="AO31">
        <f t="shared" si="37"/>
        <v>79</v>
      </c>
      <c r="AP31">
        <f t="shared" si="38"/>
        <v>60.25</v>
      </c>
      <c r="AQ31">
        <f t="shared" si="39"/>
        <v>41.699999999999996</v>
      </c>
      <c r="AR31">
        <f t="shared" si="23"/>
        <v>80.699999999999989</v>
      </c>
      <c r="AS31">
        <f t="shared" si="24"/>
        <v>57</v>
      </c>
      <c r="AT31" s="12">
        <v>-1</v>
      </c>
      <c r="AU31" s="12">
        <v>1</v>
      </c>
      <c r="AV31" s="12">
        <v>1</v>
      </c>
      <c r="AW31">
        <f t="shared" si="25"/>
        <v>1</v>
      </c>
      <c r="AX31" s="38" t="e" vm="28">
        <v>#VALUE!</v>
      </c>
      <c r="AY31" s="59" cm="1">
        <f t="array" aca="1" ref="AY31" ca="1">_FV(AX31,"PRECIO")</f>
        <v>193.41</v>
      </c>
      <c r="AZ31" s="60">
        <v>210</v>
      </c>
      <c r="BA31" s="55">
        <f>IFERROR(INDEX('DCF Simplified'!$Y$4:$Y$38,MATCH(A31,'DCF Simplified'!$A$4:$A$38,0)),"")</f>
        <v>135.84263499753746</v>
      </c>
      <c r="BB31" s="58">
        <f t="shared" ca="1" si="40"/>
        <v>8.5776330076004367E-2</v>
      </c>
      <c r="BD31">
        <v>-0.08</v>
      </c>
      <c r="BE31">
        <v>40</v>
      </c>
      <c r="BF31">
        <v>-0.15</v>
      </c>
      <c r="BG31">
        <f t="shared" si="27"/>
        <v>25</v>
      </c>
      <c r="BH31">
        <f t="shared" si="28"/>
        <v>70</v>
      </c>
      <c r="BI31">
        <f t="shared" si="29"/>
        <v>25</v>
      </c>
      <c r="BJ31">
        <f t="shared" si="30"/>
        <v>36.299999999999997</v>
      </c>
      <c r="BK31">
        <f t="shared" si="31"/>
        <v>42</v>
      </c>
      <c r="BL31" t="str">
        <f t="shared" si="32"/>
        <v>🟠 WEAK</v>
      </c>
      <c r="BM31" s="53" t="str">
        <f t="shared" si="33"/>
        <v>🔴 SELL</v>
      </c>
    </row>
    <row r="32" spans="1:65" x14ac:dyDescent="0.4">
      <c r="A32" t="s">
        <v>211</v>
      </c>
      <c r="B32" t="s">
        <v>47</v>
      </c>
      <c r="C32" s="1">
        <v>-1.2</v>
      </c>
      <c r="D32" s="1">
        <v>0.3</v>
      </c>
      <c r="E32" s="1">
        <v>0.1</v>
      </c>
      <c r="F32" s="1">
        <v>0.04</v>
      </c>
      <c r="G32" s="1">
        <v>0.03</v>
      </c>
      <c r="H32" s="33">
        <v>1.2</v>
      </c>
      <c r="I32" s="33">
        <v>2</v>
      </c>
      <c r="J32" s="33">
        <v>1.3</v>
      </c>
      <c r="K32" s="34">
        <v>12</v>
      </c>
      <c r="L32" s="18">
        <v>0.08</v>
      </c>
      <c r="M32" s="33">
        <v>1</v>
      </c>
      <c r="N32" s="18">
        <v>0.02</v>
      </c>
      <c r="O32" s="33">
        <v>27</v>
      </c>
      <c r="P32" s="33">
        <v>20</v>
      </c>
      <c r="Q32" s="33">
        <v>30</v>
      </c>
      <c r="R32" s="18">
        <v>2.1999999999999999E-2</v>
      </c>
      <c r="S32" s="18">
        <v>0.55000000000000004</v>
      </c>
      <c r="T32" s="18">
        <v>0.04</v>
      </c>
      <c r="U32">
        <f t="shared" si="0"/>
        <v>0</v>
      </c>
      <c r="V32">
        <f t="shared" si="1"/>
        <v>100</v>
      </c>
      <c r="W32">
        <f t="shared" si="2"/>
        <v>85</v>
      </c>
      <c r="X32">
        <f t="shared" si="3"/>
        <v>50</v>
      </c>
      <c r="Y32">
        <f t="shared" si="4"/>
        <v>50</v>
      </c>
      <c r="Z32">
        <f t="shared" si="5"/>
        <v>70</v>
      </c>
      <c r="AA32">
        <f t="shared" si="6"/>
        <v>70</v>
      </c>
      <c r="AB32">
        <f t="shared" si="7"/>
        <v>70</v>
      </c>
      <c r="AC32">
        <f t="shared" si="8"/>
        <v>85</v>
      </c>
      <c r="AD32">
        <f t="shared" si="9"/>
        <v>85</v>
      </c>
      <c r="AE32">
        <f t="shared" si="10"/>
        <v>85</v>
      </c>
      <c r="AF32">
        <f t="shared" si="11"/>
        <v>100</v>
      </c>
      <c r="AG32">
        <f t="shared" si="12"/>
        <v>48</v>
      </c>
      <c r="AH32">
        <f t="shared" si="13"/>
        <v>48</v>
      </c>
      <c r="AI32">
        <f t="shared" si="14"/>
        <v>48</v>
      </c>
      <c r="AJ32">
        <f t="shared" si="15"/>
        <v>82</v>
      </c>
      <c r="AK32">
        <f t="shared" si="16"/>
        <v>100</v>
      </c>
      <c r="AL32">
        <f t="shared" si="17"/>
        <v>100</v>
      </c>
      <c r="AM32">
        <f t="shared" si="35"/>
        <v>60.5</v>
      </c>
      <c r="AN32">
        <f t="shared" si="36"/>
        <v>55</v>
      </c>
      <c r="AO32">
        <f t="shared" si="37"/>
        <v>75.25</v>
      </c>
      <c r="AP32">
        <f t="shared" si="38"/>
        <v>88.75</v>
      </c>
      <c r="AQ32">
        <f t="shared" si="39"/>
        <v>47.999999999999993</v>
      </c>
      <c r="AR32">
        <f t="shared" si="23"/>
        <v>91.9</v>
      </c>
      <c r="AS32">
        <f t="shared" si="24"/>
        <v>67</v>
      </c>
      <c r="AT32" s="12">
        <v>1</v>
      </c>
      <c r="AU32" s="12">
        <v>2</v>
      </c>
      <c r="AV32" s="12">
        <v>2</v>
      </c>
      <c r="AW32">
        <f t="shared" si="25"/>
        <v>5</v>
      </c>
      <c r="AX32" s="38" t="e" vm="29">
        <v>#VALUE!</v>
      </c>
      <c r="AY32" s="59" cm="1">
        <f t="array" aca="1" ref="AY32" ca="1">_FV(AX32,"PRECIO")</f>
        <v>328.43</v>
      </c>
      <c r="AZ32" s="60">
        <v>335</v>
      </c>
      <c r="BA32" s="55">
        <f>IFERROR(INDEX('DCF Simplified'!$Y$4:$Y$38,MATCH(A32,'DCF Simplified'!$A$4:$A$38,0)),"")</f>
        <v>345.48398095383169</v>
      </c>
      <c r="BB32" s="58">
        <f t="shared" ca="1" si="40"/>
        <v>2.000426270438143E-2</v>
      </c>
      <c r="BD32">
        <v>-0.04</v>
      </c>
      <c r="BE32">
        <v>45</v>
      </c>
      <c r="BF32">
        <v>-7.0000000000000007E-2</v>
      </c>
      <c r="BG32">
        <f t="shared" si="27"/>
        <v>45</v>
      </c>
      <c r="BH32">
        <f t="shared" si="28"/>
        <v>70</v>
      </c>
      <c r="BI32">
        <f t="shared" si="29"/>
        <v>45</v>
      </c>
      <c r="BJ32">
        <f t="shared" si="30"/>
        <v>51.3</v>
      </c>
      <c r="BK32">
        <f t="shared" si="31"/>
        <v>57</v>
      </c>
      <c r="BL32" t="str">
        <f t="shared" si="32"/>
        <v>⚪ NEUTRAL</v>
      </c>
      <c r="BM32" s="50" t="str">
        <f t="shared" si="33"/>
        <v>⚠️ HOLD</v>
      </c>
    </row>
    <row r="33" spans="1:65" x14ac:dyDescent="0.4">
      <c r="A33" t="s">
        <v>212</v>
      </c>
      <c r="B33" t="s">
        <v>44</v>
      </c>
      <c r="C33" s="1">
        <v>0.12</v>
      </c>
      <c r="D33" s="1">
        <v>0.08</v>
      </c>
      <c r="E33" s="1">
        <v>0.24</v>
      </c>
      <c r="F33" s="1">
        <v>0.3</v>
      </c>
      <c r="G33" s="1">
        <v>0.25</v>
      </c>
      <c r="H33" s="33">
        <v>2.5</v>
      </c>
      <c r="I33" s="33">
        <v>2.8</v>
      </c>
      <c r="J33" s="33">
        <v>1.1000000000000001</v>
      </c>
      <c r="K33" s="34">
        <v>12</v>
      </c>
      <c r="L33" s="18">
        <v>0.38</v>
      </c>
      <c r="M33" s="33">
        <v>1.1000000000000001</v>
      </c>
      <c r="N33" s="18">
        <v>0.04</v>
      </c>
      <c r="O33" s="33">
        <v>30</v>
      </c>
      <c r="P33" s="33">
        <v>24</v>
      </c>
      <c r="Q33" s="33">
        <v>35</v>
      </c>
      <c r="R33" s="18">
        <v>1.2E-2</v>
      </c>
      <c r="S33" s="18">
        <v>0.6</v>
      </c>
      <c r="T33" s="18">
        <v>0.01</v>
      </c>
      <c r="U33">
        <f t="shared" si="0"/>
        <v>55</v>
      </c>
      <c r="V33">
        <f t="shared" si="1"/>
        <v>35</v>
      </c>
      <c r="W33">
        <f t="shared" si="2"/>
        <v>88</v>
      </c>
      <c r="X33">
        <f t="shared" si="3"/>
        <v>100</v>
      </c>
      <c r="Y33">
        <f t="shared" si="4"/>
        <v>88</v>
      </c>
      <c r="Z33">
        <f t="shared" si="5"/>
        <v>100</v>
      </c>
      <c r="AA33">
        <f t="shared" si="6"/>
        <v>35</v>
      </c>
      <c r="AB33">
        <f t="shared" si="7"/>
        <v>35</v>
      </c>
      <c r="AC33">
        <f t="shared" si="8"/>
        <v>85</v>
      </c>
      <c r="AD33">
        <f t="shared" si="9"/>
        <v>100</v>
      </c>
      <c r="AE33">
        <f t="shared" si="10"/>
        <v>88</v>
      </c>
      <c r="AF33">
        <f t="shared" si="11"/>
        <v>85</v>
      </c>
      <c r="AG33">
        <f t="shared" si="12"/>
        <v>48</v>
      </c>
      <c r="AH33">
        <f t="shared" si="13"/>
        <v>48</v>
      </c>
      <c r="AI33">
        <f t="shared" si="14"/>
        <v>48</v>
      </c>
      <c r="AJ33">
        <f t="shared" si="15"/>
        <v>62</v>
      </c>
      <c r="AK33">
        <f t="shared" si="16"/>
        <v>100</v>
      </c>
      <c r="AL33">
        <f t="shared" si="17"/>
        <v>50</v>
      </c>
      <c r="AM33">
        <f t="shared" si="35"/>
        <v>57.9</v>
      </c>
      <c r="AN33">
        <f t="shared" si="36"/>
        <v>95.8</v>
      </c>
      <c r="AO33">
        <f t="shared" si="37"/>
        <v>52.5</v>
      </c>
      <c r="AP33">
        <f t="shared" si="38"/>
        <v>92.05</v>
      </c>
      <c r="AQ33">
        <f t="shared" si="39"/>
        <v>47.999999999999993</v>
      </c>
      <c r="AR33">
        <f t="shared" si="23"/>
        <v>65.400000000000006</v>
      </c>
      <c r="AS33">
        <f t="shared" si="24"/>
        <v>69</v>
      </c>
      <c r="AT33" s="12">
        <v>2</v>
      </c>
      <c r="AU33" s="12">
        <v>2</v>
      </c>
      <c r="AV33" s="12">
        <v>3</v>
      </c>
      <c r="AW33">
        <f t="shared" si="25"/>
        <v>7</v>
      </c>
      <c r="AX33" s="38" t="e" vm="30">
        <v>#VALUE!</v>
      </c>
      <c r="AY33" s="59" cm="1">
        <f t="array" aca="1" ref="AY33" ca="1">_FV(AX33,"PRECIO")</f>
        <v>309.41500000000002</v>
      </c>
      <c r="AZ33" s="60">
        <v>480</v>
      </c>
      <c r="BA33" s="55">
        <f>IFERROR(INDEX('DCF Simplified'!$Y$4:$Y$38,MATCH(A33,'DCF Simplified'!$A$4:$A$38,0)),"")</f>
        <v>153.94972094187867</v>
      </c>
      <c r="BB33" s="58">
        <f t="shared" ca="1" si="40"/>
        <v>0.55131457750917046</v>
      </c>
      <c r="BD33">
        <v>0.12</v>
      </c>
      <c r="BE33">
        <v>60</v>
      </c>
      <c r="BF33">
        <v>0.25</v>
      </c>
      <c r="BG33">
        <f t="shared" si="27"/>
        <v>100</v>
      </c>
      <c r="BH33">
        <f t="shared" si="28"/>
        <v>70</v>
      </c>
      <c r="BI33">
        <f t="shared" si="29"/>
        <v>100</v>
      </c>
      <c r="BJ33">
        <f t="shared" si="30"/>
        <v>92.5</v>
      </c>
      <c r="BK33">
        <f t="shared" si="31"/>
        <v>71</v>
      </c>
      <c r="BL33" t="str">
        <f t="shared" si="32"/>
        <v>🟡 FAVORABLE</v>
      </c>
      <c r="BM33" s="52" t="str">
        <f t="shared" si="33"/>
        <v>✅ BUY</v>
      </c>
    </row>
    <row r="34" spans="1:65" x14ac:dyDescent="0.4">
      <c r="A34" t="s">
        <v>213</v>
      </c>
      <c r="B34" t="s">
        <v>49</v>
      </c>
      <c r="C34" s="1">
        <v>0.21</v>
      </c>
      <c r="D34" s="1">
        <v>0.12</v>
      </c>
      <c r="E34" s="1">
        <v>3.5000000000000003E-2</v>
      </c>
      <c r="F34" s="1">
        <v>0.05</v>
      </c>
      <c r="G34" s="1">
        <v>0.14000000000000001</v>
      </c>
      <c r="H34" s="33">
        <v>1.3</v>
      </c>
      <c r="I34" s="33">
        <v>0.4</v>
      </c>
      <c r="J34" s="33">
        <v>0.85</v>
      </c>
      <c r="K34" s="34">
        <v>30</v>
      </c>
      <c r="L34" s="18">
        <v>0.05</v>
      </c>
      <c r="M34" s="33">
        <v>1.1000000000000001</v>
      </c>
      <c r="N34" s="18">
        <v>0.02</v>
      </c>
      <c r="O34" s="33">
        <v>36</v>
      </c>
      <c r="P34" s="33">
        <v>16</v>
      </c>
      <c r="Q34" s="33">
        <v>42</v>
      </c>
      <c r="R34" s="18">
        <v>8.9999999999999993E-3</v>
      </c>
      <c r="S34" s="18">
        <v>0.35</v>
      </c>
      <c r="T34" s="18">
        <v>0.01</v>
      </c>
      <c r="U34">
        <f t="shared" si="0"/>
        <v>100</v>
      </c>
      <c r="V34">
        <f t="shared" si="1"/>
        <v>70</v>
      </c>
      <c r="W34">
        <f t="shared" si="2"/>
        <v>50</v>
      </c>
      <c r="X34">
        <f t="shared" si="3"/>
        <v>85</v>
      </c>
      <c r="Y34">
        <f t="shared" si="4"/>
        <v>100</v>
      </c>
      <c r="Z34">
        <f t="shared" si="5"/>
        <v>82</v>
      </c>
      <c r="AA34">
        <f t="shared" si="6"/>
        <v>85</v>
      </c>
      <c r="AB34">
        <f t="shared" si="7"/>
        <v>50</v>
      </c>
      <c r="AC34">
        <f t="shared" si="8"/>
        <v>100</v>
      </c>
      <c r="AD34">
        <f t="shared" si="9"/>
        <v>65</v>
      </c>
      <c r="AE34">
        <f t="shared" si="10"/>
        <v>100</v>
      </c>
      <c r="AF34">
        <f t="shared" si="11"/>
        <v>100</v>
      </c>
      <c r="AG34">
        <f t="shared" si="12"/>
        <v>10</v>
      </c>
      <c r="AH34">
        <f t="shared" si="13"/>
        <v>65</v>
      </c>
      <c r="AI34">
        <f t="shared" si="14"/>
        <v>28</v>
      </c>
      <c r="AJ34">
        <f t="shared" si="15"/>
        <v>30</v>
      </c>
      <c r="AK34">
        <f t="shared" si="16"/>
        <v>55</v>
      </c>
      <c r="AL34">
        <f t="shared" si="17"/>
        <v>48</v>
      </c>
      <c r="AM34">
        <f t="shared" si="35"/>
        <v>74.5</v>
      </c>
      <c r="AN34">
        <f t="shared" si="36"/>
        <v>89.5</v>
      </c>
      <c r="AO34">
        <f t="shared" si="37"/>
        <v>79.75</v>
      </c>
      <c r="AP34">
        <f t="shared" si="38"/>
        <v>86</v>
      </c>
      <c r="AQ34">
        <f t="shared" si="39"/>
        <v>34.65</v>
      </c>
      <c r="AR34">
        <f t="shared" si="23"/>
        <v>41.3</v>
      </c>
      <c r="AS34">
        <f t="shared" si="24"/>
        <v>66</v>
      </c>
      <c r="AT34" s="12">
        <v>1</v>
      </c>
      <c r="AU34" s="12">
        <v>2</v>
      </c>
      <c r="AV34" s="12">
        <v>1</v>
      </c>
      <c r="AW34">
        <f t="shared" si="25"/>
        <v>4</v>
      </c>
      <c r="AX34" s="38" t="e" vm="31">
        <v>#VALUE!</v>
      </c>
      <c r="AY34" s="59" cm="1">
        <f t="array" aca="1" ref="AY34" ca="1">_FV(AX34,"PRECIO")</f>
        <v>122.18</v>
      </c>
      <c r="AZ34" s="60">
        <v>62</v>
      </c>
      <c r="BA34" s="55">
        <f>IFERROR(INDEX('DCF Simplified'!$Y$4:$Y$38,MATCH(A34,'DCF Simplified'!$A$4:$A$38,0)),"")</f>
        <v>180.79688394066875</v>
      </c>
      <c r="BB34" s="58">
        <f t="shared" ca="1" si="40"/>
        <v>-0.49255197249959082</v>
      </c>
      <c r="BD34">
        <v>0.01</v>
      </c>
      <c r="BE34">
        <v>49</v>
      </c>
      <c r="BF34">
        <v>0.02</v>
      </c>
      <c r="BG34">
        <f t="shared" si="27"/>
        <v>65</v>
      </c>
      <c r="BH34">
        <f t="shared" si="28"/>
        <v>70</v>
      </c>
      <c r="BI34">
        <f t="shared" si="29"/>
        <v>65</v>
      </c>
      <c r="BJ34">
        <f t="shared" si="30"/>
        <v>66.3</v>
      </c>
      <c r="BK34">
        <f t="shared" si="31"/>
        <v>56</v>
      </c>
      <c r="BL34" t="str">
        <f t="shared" si="32"/>
        <v>⚪ NEUTRAL</v>
      </c>
      <c r="BM34" s="50" t="str">
        <f t="shared" si="33"/>
        <v>⚠️ HOLD</v>
      </c>
    </row>
    <row r="35" spans="1:65" x14ac:dyDescent="0.4">
      <c r="A35" t="s">
        <v>214</v>
      </c>
      <c r="B35" t="s">
        <v>50</v>
      </c>
      <c r="C35" s="1">
        <v>0.16</v>
      </c>
      <c r="D35" s="1">
        <v>0.1</v>
      </c>
      <c r="E35" s="1">
        <v>0.15</v>
      </c>
      <c r="F35" s="1">
        <v>0.03</v>
      </c>
      <c r="G35" s="1">
        <v>-0.08</v>
      </c>
      <c r="H35" s="33">
        <v>0.8</v>
      </c>
      <c r="I35" s="33">
        <v>0.3</v>
      </c>
      <c r="J35" s="33">
        <v>1.5</v>
      </c>
      <c r="K35" s="34">
        <v>15</v>
      </c>
      <c r="L35" s="18">
        <v>0.12</v>
      </c>
      <c r="M35" s="33">
        <v>0.9</v>
      </c>
      <c r="N35" s="18">
        <v>0.08</v>
      </c>
      <c r="O35" s="33">
        <v>13</v>
      </c>
      <c r="P35" s="33">
        <v>6</v>
      </c>
      <c r="Q35" s="33">
        <v>10</v>
      </c>
      <c r="R35" s="18">
        <v>0.03</v>
      </c>
      <c r="S35" s="18">
        <v>0.4</v>
      </c>
      <c r="T35" s="18">
        <v>0.05</v>
      </c>
      <c r="U35">
        <f t="shared" si="0"/>
        <v>85</v>
      </c>
      <c r="V35">
        <f t="shared" si="1"/>
        <v>82</v>
      </c>
      <c r="W35">
        <f t="shared" si="2"/>
        <v>100</v>
      </c>
      <c r="X35">
        <f t="shared" si="3"/>
        <v>45</v>
      </c>
      <c r="Y35">
        <f t="shared" si="4"/>
        <v>8</v>
      </c>
      <c r="Z35">
        <f t="shared" si="5"/>
        <v>28</v>
      </c>
      <c r="AA35">
        <f t="shared" si="6"/>
        <v>82</v>
      </c>
      <c r="AB35">
        <f t="shared" si="7"/>
        <v>80</v>
      </c>
      <c r="AC35">
        <f t="shared" si="8"/>
        <v>100</v>
      </c>
      <c r="AD35">
        <f t="shared" si="9"/>
        <v>100</v>
      </c>
      <c r="AE35">
        <f t="shared" si="10"/>
        <v>80</v>
      </c>
      <c r="AF35">
        <f t="shared" si="11"/>
        <v>100</v>
      </c>
      <c r="AG35">
        <f t="shared" si="12"/>
        <v>65</v>
      </c>
      <c r="AH35">
        <f t="shared" si="13"/>
        <v>82</v>
      </c>
      <c r="AI35">
        <f t="shared" si="14"/>
        <v>80</v>
      </c>
      <c r="AJ35">
        <f t="shared" si="15"/>
        <v>68</v>
      </c>
      <c r="AK35">
        <f t="shared" si="16"/>
        <v>100</v>
      </c>
      <c r="AL35">
        <f t="shared" si="17"/>
        <v>100</v>
      </c>
      <c r="AM35">
        <f t="shared" si="35"/>
        <v>88.449999999999989</v>
      </c>
      <c r="AN35">
        <f t="shared" si="36"/>
        <v>27.8</v>
      </c>
      <c r="AO35">
        <f t="shared" si="37"/>
        <v>87.7</v>
      </c>
      <c r="AP35">
        <f t="shared" si="38"/>
        <v>93</v>
      </c>
      <c r="AQ35">
        <f t="shared" si="39"/>
        <v>75.45</v>
      </c>
      <c r="AR35">
        <f t="shared" si="23"/>
        <v>85.6</v>
      </c>
      <c r="AS35">
        <f t="shared" si="24"/>
        <v>78</v>
      </c>
      <c r="AT35" s="12">
        <v>0</v>
      </c>
      <c r="AU35" s="12">
        <v>1</v>
      </c>
      <c r="AV35" s="12">
        <v>1</v>
      </c>
      <c r="AW35">
        <f t="shared" si="25"/>
        <v>2</v>
      </c>
      <c r="AX35" s="38" t="e" vm="32">
        <v>#VALUE!</v>
      </c>
      <c r="AY35" s="59" cm="1">
        <f t="array" aca="1" ref="AY35" ca="1">_FV(AX35,"PRECIO")</f>
        <v>133.25</v>
      </c>
      <c r="AZ35" s="60">
        <v>107</v>
      </c>
      <c r="BA35" s="55">
        <f>IFERROR(INDEX('DCF Simplified'!$Y$4:$Y$38,MATCH(A35,'DCF Simplified'!$A$4:$A$38,0)),"")</f>
        <v>108.47876131366627</v>
      </c>
      <c r="BB35" s="58">
        <f t="shared" ca="1" si="40"/>
        <v>-0.19699812382739212</v>
      </c>
      <c r="BD35">
        <v>-7.0000000000000007E-2</v>
      </c>
      <c r="BE35">
        <v>42</v>
      </c>
      <c r="BF35">
        <v>-0.12</v>
      </c>
      <c r="BG35">
        <f t="shared" si="27"/>
        <v>25</v>
      </c>
      <c r="BH35">
        <f t="shared" si="28"/>
        <v>70</v>
      </c>
      <c r="BI35">
        <f t="shared" si="29"/>
        <v>25</v>
      </c>
      <c r="BJ35">
        <f t="shared" si="30"/>
        <v>36.299999999999997</v>
      </c>
      <c r="BK35">
        <f t="shared" si="31"/>
        <v>58</v>
      </c>
      <c r="BL35" t="str">
        <f t="shared" si="32"/>
        <v>⚪ NEUTRAL</v>
      </c>
      <c r="BM35" s="50" t="str">
        <f t="shared" si="33"/>
        <v>⚠️ HOLD</v>
      </c>
    </row>
    <row r="36" spans="1:65" x14ac:dyDescent="0.4">
      <c r="A36" t="s">
        <v>215</v>
      </c>
      <c r="B36" t="s">
        <v>46</v>
      </c>
      <c r="C36" s="1">
        <v>0.12</v>
      </c>
      <c r="D36" s="1">
        <v>0.04</v>
      </c>
      <c r="E36" s="1">
        <v>0.28000000000000003</v>
      </c>
      <c r="F36" s="1">
        <v>0.06</v>
      </c>
      <c r="G36" s="1">
        <v>0.15</v>
      </c>
      <c r="H36" s="33">
        <v>1.1000000000000001</v>
      </c>
      <c r="I36" s="33">
        <v>2</v>
      </c>
      <c r="J36" s="33">
        <v>0.3</v>
      </c>
      <c r="K36" s="34">
        <v>5</v>
      </c>
      <c r="L36" s="18">
        <v>0.2</v>
      </c>
      <c r="M36" s="33">
        <v>0.7</v>
      </c>
      <c r="N36" s="18">
        <v>0.03</v>
      </c>
      <c r="O36" s="33">
        <v>14</v>
      </c>
      <c r="P36" s="33">
        <v>9</v>
      </c>
      <c r="Q36" s="33">
        <v>12</v>
      </c>
      <c r="R36" s="18">
        <v>2.1000000000000001E-2</v>
      </c>
      <c r="S36" s="18">
        <v>0.25</v>
      </c>
      <c r="T36" s="18">
        <v>0.04</v>
      </c>
      <c r="U36">
        <f t="shared" si="0"/>
        <v>72</v>
      </c>
      <c r="V36">
        <f t="shared" si="1"/>
        <v>35</v>
      </c>
      <c r="W36">
        <f t="shared" si="2"/>
        <v>88</v>
      </c>
      <c r="X36">
        <f t="shared" si="3"/>
        <v>68</v>
      </c>
      <c r="Y36">
        <f t="shared" si="4"/>
        <v>100</v>
      </c>
      <c r="Z36">
        <f t="shared" si="5"/>
        <v>70</v>
      </c>
      <c r="AA36">
        <f t="shared" si="6"/>
        <v>85</v>
      </c>
      <c r="AB36">
        <f t="shared" si="7"/>
        <v>0</v>
      </c>
      <c r="AC36">
        <f t="shared" si="8"/>
        <v>85</v>
      </c>
      <c r="AD36">
        <f t="shared" si="9"/>
        <v>100</v>
      </c>
      <c r="AE36">
        <f t="shared" si="10"/>
        <v>52</v>
      </c>
      <c r="AF36">
        <f t="shared" si="11"/>
        <v>85</v>
      </c>
      <c r="AG36">
        <f t="shared" si="12"/>
        <v>70</v>
      </c>
      <c r="AH36">
        <f t="shared" si="13"/>
        <v>85</v>
      </c>
      <c r="AI36">
        <f t="shared" si="14"/>
        <v>100</v>
      </c>
      <c r="AJ36">
        <f t="shared" si="15"/>
        <v>68</v>
      </c>
      <c r="AK36">
        <f t="shared" si="16"/>
        <v>55</v>
      </c>
      <c r="AL36">
        <f t="shared" si="17"/>
        <v>85</v>
      </c>
      <c r="AM36">
        <f t="shared" si="35"/>
        <v>63.85</v>
      </c>
      <c r="AN36">
        <f t="shared" si="36"/>
        <v>79.7</v>
      </c>
      <c r="AO36">
        <f t="shared" si="37"/>
        <v>59.499999999999993</v>
      </c>
      <c r="AP36">
        <f t="shared" si="38"/>
        <v>79.45</v>
      </c>
      <c r="AQ36">
        <f t="shared" si="39"/>
        <v>84.25</v>
      </c>
      <c r="AR36">
        <f t="shared" ref="AR36:AR69" si="41">IF($B36="","",AJ36*0.45+AK36*0.2+AL36*0.35)</f>
        <v>71.349999999999994</v>
      </c>
      <c r="AS36">
        <f t="shared" si="24"/>
        <v>71</v>
      </c>
      <c r="AT36" s="12">
        <v>2</v>
      </c>
      <c r="AU36" s="12">
        <v>2</v>
      </c>
      <c r="AV36" s="12">
        <v>2</v>
      </c>
      <c r="AW36">
        <f t="shared" si="25"/>
        <v>6</v>
      </c>
      <c r="AX36" s="38" t="e" vm="33">
        <v>#VALUE!</v>
      </c>
      <c r="AY36" s="59" cm="1">
        <f t="array" aca="1" ref="AY36" ca="1">_FV(AX36,"PRECIO")</f>
        <v>822.64</v>
      </c>
      <c r="AZ36" s="60">
        <v>700</v>
      </c>
      <c r="BA36" s="55">
        <f>IFERROR(INDEX('DCF Simplified'!$Y$4:$Y$38,MATCH(A36,'DCF Simplified'!$A$4:$A$38,0)),"")</f>
        <v>889.06111153854056</v>
      </c>
      <c r="BB36" s="58">
        <f t="shared" ca="1" si="40"/>
        <v>-0.14908100748808711</v>
      </c>
      <c r="BD36">
        <v>0.05</v>
      </c>
      <c r="BE36">
        <v>53</v>
      </c>
      <c r="BF36">
        <v>0.08</v>
      </c>
      <c r="BG36">
        <f t="shared" si="27"/>
        <v>65</v>
      </c>
      <c r="BH36">
        <f t="shared" si="28"/>
        <v>70</v>
      </c>
      <c r="BI36">
        <f t="shared" si="29"/>
        <v>65</v>
      </c>
      <c r="BJ36">
        <f t="shared" si="30"/>
        <v>66.3</v>
      </c>
      <c r="BK36">
        <f t="shared" si="31"/>
        <v>71</v>
      </c>
      <c r="BL36" t="str">
        <f t="shared" si="32"/>
        <v>🟡 FAVORABLE</v>
      </c>
      <c r="BM36" s="52" t="str">
        <f t="shared" si="33"/>
        <v>✅ BUY</v>
      </c>
    </row>
    <row r="37" spans="1:65" x14ac:dyDescent="0.4">
      <c r="A37" t="s">
        <v>216</v>
      </c>
      <c r="B37" t="s">
        <v>0</v>
      </c>
      <c r="C37" s="1">
        <v>0.35</v>
      </c>
      <c r="D37" s="1">
        <v>0.12</v>
      </c>
      <c r="E37" s="1">
        <v>0.15</v>
      </c>
      <c r="F37" s="1">
        <v>0.04</v>
      </c>
      <c r="G37" s="1">
        <v>0.05</v>
      </c>
      <c r="H37" s="33">
        <v>1.1000000000000001</v>
      </c>
      <c r="I37" s="33">
        <v>1.8</v>
      </c>
      <c r="J37" s="33">
        <v>1.2</v>
      </c>
      <c r="K37" s="34">
        <v>12</v>
      </c>
      <c r="L37" s="18">
        <v>0.12</v>
      </c>
      <c r="M37" s="33">
        <v>0.85</v>
      </c>
      <c r="N37" s="18">
        <v>0.05</v>
      </c>
      <c r="O37" s="33">
        <v>21</v>
      </c>
      <c r="P37" s="33">
        <v>16</v>
      </c>
      <c r="Q37" s="33">
        <v>22</v>
      </c>
      <c r="R37" s="18">
        <v>0.02</v>
      </c>
      <c r="S37" s="18">
        <v>0.45</v>
      </c>
      <c r="T37" s="18">
        <v>0.03</v>
      </c>
      <c r="U37">
        <f t="shared" si="0"/>
        <v>100</v>
      </c>
      <c r="V37">
        <f t="shared" si="1"/>
        <v>70</v>
      </c>
      <c r="W37">
        <f t="shared" si="2"/>
        <v>100</v>
      </c>
      <c r="X37">
        <f t="shared" si="3"/>
        <v>50</v>
      </c>
      <c r="Y37">
        <f t="shared" si="4"/>
        <v>50</v>
      </c>
      <c r="Z37">
        <f t="shared" si="5"/>
        <v>68</v>
      </c>
      <c r="AA37">
        <f t="shared" si="6"/>
        <v>68</v>
      </c>
      <c r="AB37">
        <f t="shared" si="7"/>
        <v>68</v>
      </c>
      <c r="AC37">
        <f t="shared" si="8"/>
        <v>100</v>
      </c>
      <c r="AD37">
        <f t="shared" si="9"/>
        <v>100</v>
      </c>
      <c r="AE37">
        <f t="shared" si="10"/>
        <v>68</v>
      </c>
      <c r="AF37">
        <f t="shared" si="11"/>
        <v>82</v>
      </c>
      <c r="AG37">
        <f t="shared" si="12"/>
        <v>48</v>
      </c>
      <c r="AH37">
        <f t="shared" si="13"/>
        <v>48</v>
      </c>
      <c r="AI37">
        <f t="shared" si="14"/>
        <v>65</v>
      </c>
      <c r="AJ37">
        <f t="shared" si="15"/>
        <v>65</v>
      </c>
      <c r="AK37">
        <f t="shared" si="16"/>
        <v>100</v>
      </c>
      <c r="AL37">
        <f t="shared" si="17"/>
        <v>100</v>
      </c>
      <c r="AM37">
        <f t="shared" si="35"/>
        <v>89.5</v>
      </c>
      <c r="AN37">
        <f t="shared" si="36"/>
        <v>54.5</v>
      </c>
      <c r="AO37">
        <f t="shared" si="37"/>
        <v>79.199999999999989</v>
      </c>
      <c r="AP37">
        <f t="shared" si="38"/>
        <v>84.3</v>
      </c>
      <c r="AQ37">
        <f t="shared" si="39"/>
        <v>53.099999999999994</v>
      </c>
      <c r="AR37">
        <f t="shared" si="41"/>
        <v>84.25</v>
      </c>
      <c r="AS37">
        <f t="shared" si="24"/>
        <v>75</v>
      </c>
      <c r="AT37" s="12">
        <v>1</v>
      </c>
      <c r="AU37" s="12">
        <v>2</v>
      </c>
      <c r="AV37" s="12">
        <v>2</v>
      </c>
      <c r="AW37">
        <f t="shared" si="25"/>
        <v>5</v>
      </c>
      <c r="AX37" s="38" t="e" vm="34">
        <v>#VALUE!</v>
      </c>
      <c r="AY37" s="59" cm="1">
        <f t="array" aca="1" ref="AY37" ca="1">_FV(AX37,"PRECIO")</f>
        <v>225.17</v>
      </c>
      <c r="AZ37" s="60">
        <v>198</v>
      </c>
      <c r="BA37" s="55">
        <f>IFERROR(INDEX('DCF Simplified'!$Y$4:$Y$38,MATCH(A37,'DCF Simplified'!$A$4:$A$38,0)),"")</f>
        <v>164.22222798807286</v>
      </c>
      <c r="BB37" s="58">
        <f t="shared" ca="1" si="40"/>
        <v>-0.12066438690766972</v>
      </c>
      <c r="BD37">
        <v>-0.02</v>
      </c>
      <c r="BE37">
        <v>47</v>
      </c>
      <c r="BF37">
        <v>-0.04</v>
      </c>
      <c r="BG37">
        <f t="shared" si="27"/>
        <v>45</v>
      </c>
      <c r="BH37">
        <f t="shared" si="28"/>
        <v>70</v>
      </c>
      <c r="BI37">
        <f t="shared" si="29"/>
        <v>45</v>
      </c>
      <c r="BJ37">
        <f t="shared" si="30"/>
        <v>51.3</v>
      </c>
      <c r="BK37">
        <f t="shared" si="31"/>
        <v>61</v>
      </c>
      <c r="BL37" t="str">
        <f t="shared" si="32"/>
        <v>⚪ NEUTRAL</v>
      </c>
      <c r="BM37" s="50" t="str">
        <f t="shared" si="33"/>
        <v>⚠️ HOLD</v>
      </c>
    </row>
    <row r="38" spans="1:65" x14ac:dyDescent="0.4">
      <c r="A38" t="s">
        <v>217</v>
      </c>
      <c r="B38" t="s">
        <v>52</v>
      </c>
      <c r="C38" s="1">
        <v>0.12</v>
      </c>
      <c r="D38" s="1">
        <v>0.05</v>
      </c>
      <c r="E38" s="1">
        <v>0.16</v>
      </c>
      <c r="F38" s="1">
        <v>0.06</v>
      </c>
      <c r="G38" s="1">
        <v>0.1</v>
      </c>
      <c r="H38" s="33">
        <v>0.9</v>
      </c>
      <c r="I38" s="33">
        <v>4.2</v>
      </c>
      <c r="J38" s="33">
        <v>0.7</v>
      </c>
      <c r="K38" s="34">
        <v>4</v>
      </c>
      <c r="L38" s="18">
        <v>0.08</v>
      </c>
      <c r="M38" s="33">
        <v>0.5</v>
      </c>
      <c r="N38" s="18">
        <v>0.18</v>
      </c>
      <c r="O38" s="33">
        <v>22</v>
      </c>
      <c r="P38" s="33">
        <v>14</v>
      </c>
      <c r="Q38" s="33">
        <v>25</v>
      </c>
      <c r="R38" s="18">
        <v>3.3000000000000002E-2</v>
      </c>
      <c r="S38" s="18">
        <v>0.6</v>
      </c>
      <c r="T38" s="18">
        <v>5.0000000000000001E-3</v>
      </c>
      <c r="U38">
        <f t="shared" si="0"/>
        <v>100</v>
      </c>
      <c r="V38">
        <f t="shared" si="1"/>
        <v>48</v>
      </c>
      <c r="W38">
        <f t="shared" si="2"/>
        <v>100</v>
      </c>
      <c r="X38">
        <f t="shared" si="3"/>
        <v>100</v>
      </c>
      <c r="Y38">
        <f t="shared" si="4"/>
        <v>100</v>
      </c>
      <c r="Z38">
        <f t="shared" si="5"/>
        <v>65</v>
      </c>
      <c r="AA38">
        <f t="shared" si="6"/>
        <v>48</v>
      </c>
      <c r="AB38">
        <f t="shared" si="7"/>
        <v>48</v>
      </c>
      <c r="AC38">
        <f t="shared" si="8"/>
        <v>80</v>
      </c>
      <c r="AD38">
        <f t="shared" si="9"/>
        <v>100</v>
      </c>
      <c r="AE38">
        <f t="shared" si="10"/>
        <v>60</v>
      </c>
      <c r="AF38">
        <f t="shared" si="11"/>
        <v>60</v>
      </c>
      <c r="AG38">
        <f t="shared" si="12"/>
        <v>45</v>
      </c>
      <c r="AH38">
        <f t="shared" si="13"/>
        <v>45</v>
      </c>
      <c r="AI38">
        <f t="shared" si="14"/>
        <v>60</v>
      </c>
      <c r="AJ38">
        <f t="shared" si="15"/>
        <v>72</v>
      </c>
      <c r="AK38">
        <f t="shared" si="16"/>
        <v>88</v>
      </c>
      <c r="AL38">
        <f t="shared" si="17"/>
        <v>40</v>
      </c>
      <c r="AM38">
        <f t="shared" si="35"/>
        <v>81.8</v>
      </c>
      <c r="AN38">
        <f t="shared" si="36"/>
        <v>91.25</v>
      </c>
      <c r="AO38">
        <f t="shared" si="37"/>
        <v>59.199999999999996</v>
      </c>
      <c r="AP38">
        <f t="shared" si="38"/>
        <v>76</v>
      </c>
      <c r="AQ38">
        <f t="shared" si="39"/>
        <v>49.5</v>
      </c>
      <c r="AR38">
        <f t="shared" si="41"/>
        <v>64</v>
      </c>
      <c r="AS38">
        <f t="shared" si="24"/>
        <v>68</v>
      </c>
      <c r="AT38" s="12">
        <v>1</v>
      </c>
      <c r="AU38" s="12">
        <v>1</v>
      </c>
      <c r="AV38" s="12">
        <v>1</v>
      </c>
      <c r="AW38">
        <f t="shared" si="25"/>
        <v>3</v>
      </c>
      <c r="AX38" s="38" t="e" vm="35">
        <v>#VALUE!</v>
      </c>
      <c r="AY38" s="59" cm="1">
        <f t="array" aca="1" ref="AY38" ca="1">_FV(AX38,"PRECIO")</f>
        <v>95.42</v>
      </c>
      <c r="AZ38" s="60">
        <v>81</v>
      </c>
      <c r="BA38" s="55">
        <f>IFERROR(INDEX('DCF Simplified'!$Y$4:$Y$38,MATCH(A38,'DCF Simplified'!$A$4:$A$38,0)),"")</f>
        <v>68.3854126360024</v>
      </c>
      <c r="BB38" s="58">
        <f t="shared" ca="1" si="40"/>
        <v>-0.15112135820582689</v>
      </c>
      <c r="BD38">
        <v>0.04</v>
      </c>
      <c r="BE38">
        <v>51</v>
      </c>
      <c r="BF38">
        <v>0.06</v>
      </c>
      <c r="BG38">
        <f t="shared" si="27"/>
        <v>65</v>
      </c>
      <c r="BH38">
        <f t="shared" si="28"/>
        <v>70</v>
      </c>
      <c r="BI38">
        <f t="shared" si="29"/>
        <v>65</v>
      </c>
      <c r="BJ38">
        <f t="shared" si="30"/>
        <v>66.3</v>
      </c>
      <c r="BK38">
        <f t="shared" si="31"/>
        <v>58</v>
      </c>
      <c r="BL38" t="str">
        <f t="shared" si="32"/>
        <v>⚪ NEUTRAL</v>
      </c>
      <c r="BM38" s="50" t="str">
        <f t="shared" si="33"/>
        <v>⚠️ HOLD</v>
      </c>
    </row>
    <row r="39" spans="1:65" x14ac:dyDescent="0.4">
      <c r="A39" t="s">
        <v>282</v>
      </c>
      <c r="B39" t="s">
        <v>0</v>
      </c>
      <c r="C39" s="1">
        <v>0.42599999999999999</v>
      </c>
      <c r="D39" s="1">
        <v>0.115</v>
      </c>
      <c r="E39" s="1">
        <v>0.128</v>
      </c>
      <c r="F39" s="1">
        <v>9.4E-2</v>
      </c>
      <c r="G39" s="1">
        <v>0.34300000000000003</v>
      </c>
      <c r="H39" s="33">
        <v>1.5</v>
      </c>
      <c r="I39" s="33">
        <v>-2.6</v>
      </c>
      <c r="J39" s="33">
        <v>0.98</v>
      </c>
      <c r="K39" s="34">
        <v>50</v>
      </c>
      <c r="L39" s="18">
        <v>9.7000000000000003E-2</v>
      </c>
      <c r="M39" s="33">
        <v>0.76</v>
      </c>
      <c r="N39" s="18">
        <v>3.4000000000000002E-2</v>
      </c>
      <c r="O39" s="33">
        <v>55.9</v>
      </c>
      <c r="P39" s="33">
        <v>68.599999999999994</v>
      </c>
      <c r="Q39" s="33">
        <v>55.4</v>
      </c>
      <c r="R39" s="18">
        <v>2.5000000000000001E-3</v>
      </c>
      <c r="S39" s="18">
        <v>0.11</v>
      </c>
      <c r="T39" s="18">
        <v>0.02</v>
      </c>
      <c r="U39">
        <f t="shared" ref="U39:U42" si="42">IF(OR($B39="",C39=""),"",IF(ISERROR(MATCH($B39,GP_ROE_Sectors,0)),0,IF(C39&gt;=INDEX(GP_ROE_T,MATCH($B39,GP_ROE_Sectors,0),1),INDEX(GP_ROE_T,MATCH($B39,GP_ROE_Sectors,0),2),IF(C39&gt;=INDEX(GP_ROE_T,MATCH($B39,GP_ROE_Sectors,0),3),INDEX(GP_ROE_T,MATCH($B39,GP_ROE_Sectors,0),4),IF(C39&gt;=INDEX(GP_ROE_T,MATCH($B39,GP_ROE_Sectors,0),5),INDEX(GP_ROE_T,MATCH($B39,GP_ROE_Sectors,0),6),IF(C39&gt;=INDEX(GP_ROE_T,MATCH($B39,GP_ROE_Sectors,0),7),INDEX(GP_ROE_T,MATCH($B39,GP_ROE_Sectors,0),8),IF(C39&gt;=INDEX(GP_ROE_T,MATCH($B39,GP_ROE_Sectors,0),9),INDEX(GP_ROE_T,MATCH($B39,GP_ROE_Sectors,0),10),IF(C39&gt;=INDEX(GP_ROE_T,MATCH($B39,GP_ROE_Sectors,0),11),INDEX(GP_ROE_T,MATCH($B39,GP_ROE_Sectors,0),12),0))))))))</f>
        <v>100</v>
      </c>
      <c r="V39">
        <f t="shared" ref="V39:V42" si="43">IF(OR($B39="",D39=""),"",IF(ISERROR(MATCH($B39,GP_ROIC_Sectors,0)),0,IF(D39&gt;=INDEX(GP_ROIC_T,MATCH($B39,GP_ROIC_Sectors,0),1),INDEX(GP_ROIC_T,MATCH($B39,GP_ROIC_Sectors,0),2),IF(D39&gt;=INDEX(GP_ROIC_T,MATCH($B39,GP_ROIC_Sectors,0),3),INDEX(GP_ROIC_T,MATCH($B39,GP_ROIC_Sectors,0),4),IF(D39&gt;=INDEX(GP_ROIC_T,MATCH($B39,GP_ROIC_Sectors,0),5),INDEX(GP_ROIC_T,MATCH($B39,GP_ROIC_Sectors,0),6),IF(D39&gt;=INDEX(GP_ROIC_T,MATCH($B39,GP_ROIC_Sectors,0),7),INDEX(GP_ROIC_T,MATCH($B39,GP_ROIC_Sectors,0),8),IF(D39&gt;=INDEX(GP_ROIC_T,MATCH($B39,GP_ROIC_Sectors,0),9),INDEX(GP_ROIC_T,MATCH($B39,GP_ROIC_Sectors,0),10),IF(D39&gt;=INDEX(GP_ROIC_T,MATCH($B39,GP_ROIC_Sectors,0),11),INDEX(GP_ROIC_T,MATCH($B39,GP_ROIC_Sectors,0),12),0))))))))</f>
        <v>70</v>
      </c>
      <c r="W39">
        <f t="shared" ref="W39:W42" si="44">IF(OR($B39="",E39=""),"",IF(ISERROR(MATCH($B39,GP_NM_Sectors,0)),0,IF(E39&gt;=INDEX(GP_NM_T,MATCH($B39,GP_NM_Sectors,0),1),INDEX(GP_NM_T,MATCH($B39,GP_NM_Sectors,0),2),IF(E39&gt;=INDEX(GP_NM_T,MATCH($B39,GP_NM_Sectors,0),3),INDEX(GP_NM_T,MATCH($B39,GP_NM_Sectors,0),4),IF(E39&gt;=INDEX(GP_NM_T,MATCH($B39,GP_NM_Sectors,0),5),INDEX(GP_NM_T,MATCH($B39,GP_NM_Sectors,0),6),IF(E39&gt;=INDEX(GP_NM_T,MATCH($B39,GP_NM_Sectors,0),7),INDEX(GP_NM_T,MATCH($B39,GP_NM_Sectors,0),8),IF(E39&gt;=INDEX(GP_NM_T,MATCH($B39,GP_NM_Sectors,0),9),INDEX(GP_NM_T,MATCH($B39,GP_NM_Sectors,0),10),IF(E39&gt;=INDEX(GP_NM_T,MATCH($B39,GP_NM_Sectors,0),11),INDEX(GP_NM_T,MATCH($B39,GP_NM_Sectors,0),12),0))))))))</f>
        <v>100</v>
      </c>
      <c r="X39">
        <f t="shared" ref="X39:X42" si="45">IF(OR($B39="",F39=""),"",IF(ISERROR(MATCH($B39,GP_RG_Sectors,0)),0,IF(F39&gt;=INDEX(GP_RG_T,MATCH($B39,GP_RG_Sectors,0),1),INDEX(GP_RG_T,MATCH($B39,GP_RG_Sectors,0),2),IF(F39&gt;=INDEX(GP_RG_T,MATCH($B39,GP_RG_Sectors,0),3),INDEX(GP_RG_T,MATCH($B39,GP_RG_Sectors,0),4),IF(F39&gt;=INDEX(GP_RG_T,MATCH($B39,GP_RG_Sectors,0),5),INDEX(GP_RG_T,MATCH($B39,GP_RG_Sectors,0),6),IF(F39&gt;=INDEX(GP_RG_T,MATCH($B39,GP_RG_Sectors,0),7),INDEX(GP_RG_T,MATCH($B39,GP_RG_Sectors,0),8),IF(F39&gt;=INDEX(GP_RG_T,MATCH($B39,GP_RG_Sectors,0),9),INDEX(GP_RG_T,MATCH($B39,GP_RG_Sectors,0),10),IF(F39&gt;=INDEX(GP_RG_T,MATCH($B39,GP_RG_Sectors,0),11),INDEX(GP_RG_T,MATCH($B39,GP_RG_Sectors,0),12),0))))))))</f>
        <v>85</v>
      </c>
      <c r="Y39">
        <f t="shared" ref="Y39:Y42" si="46">IF(OR($B39="",G39=""),"",IF(ISERROR(MATCH($B39,GP_EG_Sectors,0)),0,IF(G39&gt;=INDEX(GP_EG_T,MATCH($B39,GP_EG_Sectors,0),1),INDEX(GP_EG_T,MATCH($B39,GP_EG_Sectors,0),2),IF(G39&gt;=INDEX(GP_EG_T,MATCH($B39,GP_EG_Sectors,0),3),INDEX(GP_EG_T,MATCH($B39,GP_EG_Sectors,0),4),IF(G39&gt;=INDEX(GP_EG_T,MATCH($B39,GP_EG_Sectors,0),5),INDEX(GP_EG_T,MATCH($B39,GP_EG_Sectors,0),6),IF(G39&gt;=INDEX(GP_EG_T,MATCH($B39,GP_EG_Sectors,0),7),INDEX(GP_EG_T,MATCH($B39,GP_EG_Sectors,0),8),IF(G39&gt;=INDEX(GP_EG_T,MATCH($B39,GP_EG_Sectors,0),9),INDEX(GP_EG_T,MATCH($B39,GP_EG_Sectors,0),10),IF(G39&gt;=INDEX(GP_EG_T,MATCH($B39,GP_EG_Sectors,0),11),INDEX(GP_EG_T,MATCH($B39,GP_EG_Sectors,0),12),0))))))))</f>
        <v>100</v>
      </c>
      <c r="Z39">
        <f t="shared" ref="Z39:Z42" si="47">IF(OR($B39="",H39=""),"",IF(ISERROR(MATCH($B39,GP_OL_Sectors,0)),0,IF(H39&gt;=INDEX(GP_OL_T,MATCH($B39,GP_OL_Sectors,0),1),INDEX(GP_OL_T,MATCH($B39,GP_OL_Sectors,0),2),IF(H39&gt;=INDEX(GP_OL_T,MATCH($B39,GP_OL_Sectors,0),3),INDEX(GP_OL_T,MATCH($B39,GP_OL_Sectors,0),4),IF(H39&gt;=INDEX(GP_OL_T,MATCH($B39,GP_OL_Sectors,0),5),INDEX(GP_OL_T,MATCH($B39,GP_OL_Sectors,0),6),IF(H39&gt;=INDEX(GP_OL_T,MATCH($B39,GP_OL_Sectors,0),7),INDEX(GP_OL_T,MATCH($B39,GP_OL_Sectors,0),8),IF(H39&gt;=INDEX(GP_OL_T,MATCH($B39,GP_OL_Sectors,0),9),INDEX(GP_OL_T,MATCH($B39,GP_OL_Sectors,0),10),IF(H39&gt;=INDEX(GP_OL_T,MATCH($B39,GP_OL_Sectors,0),11),INDEX(GP_OL_T,MATCH($B39,GP_OL_Sectors,0),12),0))))))))</f>
        <v>82</v>
      </c>
      <c r="AA39">
        <f t="shared" ref="AA39:AA42" si="48">IF(OR($B39="",I39=""),"",IF(ISERROR(MATCH($B39,GP_ND_Sectors,0)),0,IF(I39&lt;=INDEX(GP_ND_T,MATCH($B39,GP_ND_Sectors,0),1),INDEX(GP_ND_T,MATCH($B39,GP_ND_Sectors,0),2),IF(I39&lt;=INDEX(GP_ND_T,MATCH($B39,GP_ND_Sectors,0),3),INDEX(GP_ND_T,MATCH($B39,GP_ND_Sectors,0),4),IF(I39&lt;=INDEX(GP_ND_T,MATCH($B39,GP_ND_Sectors,0),5),INDEX(GP_ND_T,MATCH($B39,GP_ND_Sectors,0),6),IF(I39&lt;=INDEX(GP_ND_T,MATCH($B39,GP_ND_Sectors,0),7),INDEX(GP_ND_T,MATCH($B39,GP_ND_Sectors,0),8),IF(I39&lt;=INDEX(GP_ND_T,MATCH($B39,GP_ND_Sectors,0),9),INDEX(GP_ND_T,MATCH($B39,GP_ND_Sectors,0),10),IF(I39&lt;=INDEX(GP_ND_T,MATCH($B39,GP_ND_Sectors,0),11),INDEX(GP_ND_T,MATCH($B39,GP_ND_Sectors,0),12),0))))))))</f>
        <v>100</v>
      </c>
      <c r="AB39">
        <f t="shared" ref="AB39:AB42" si="49">IF(OR($B39="",J39=""),"",IF(ISERROR(MATCH($B39,GP_CR_Sectors,0)),0,IF(J39&gt;=INDEX(GP_CR_T,MATCH($B39,GP_CR_Sectors,0),1),INDEX(GP_CR_T,MATCH($B39,GP_CR_Sectors,0),2),IF(J39&gt;=INDEX(GP_CR_T,MATCH($B39,GP_CR_Sectors,0),3),INDEX(GP_CR_T,MATCH($B39,GP_CR_Sectors,0),4),IF(J39&gt;=INDEX(GP_CR_T,MATCH($B39,GP_CR_Sectors,0),5),INDEX(GP_CR_T,MATCH($B39,GP_CR_Sectors,0),6),IF(J39&gt;=INDEX(GP_CR_T,MATCH($B39,GP_CR_Sectors,0),7),INDEX(GP_CR_T,MATCH($B39,GP_CR_Sectors,0),8),IF(J39&gt;=INDEX(GP_CR_T,MATCH($B39,GP_CR_Sectors,0),9),INDEX(GP_CR_T,MATCH($B39,GP_CR_Sectors,0),10),IF(J39&gt;=INDEX(GP_CR_T,MATCH($B39,GP_CR_Sectors,0),11),INDEX(GP_CR_T,MATCH($B39,GP_CR_Sectors,0),12),0))))))))</f>
        <v>30</v>
      </c>
      <c r="AC39">
        <f t="shared" ref="AC39:AC42" si="50">IF(OR($B39="",K39=""),"",IF(ISERROR(MATCH($B39,GP_IC_Sectors,0)),0,IF(K39&gt;=INDEX(GP_IC_T,MATCH($B39,GP_IC_Sectors,0),1),INDEX(GP_IC_T,MATCH($B39,GP_IC_Sectors,0),2),IF(K39&gt;=INDEX(GP_IC_T,MATCH($B39,GP_IC_Sectors,0),3),INDEX(GP_IC_T,MATCH($B39,GP_IC_Sectors,0),4),IF(K39&gt;=INDEX(GP_IC_T,MATCH($B39,GP_IC_Sectors,0),5),INDEX(GP_IC_T,MATCH($B39,GP_IC_Sectors,0),6),IF(K39&gt;=INDEX(GP_IC_T,MATCH($B39,GP_IC_Sectors,0),7),INDEX(GP_IC_T,MATCH($B39,GP_IC_Sectors,0),8),IF(K39&gt;=INDEX(GP_IC_T,MATCH($B39,GP_IC_Sectors,0),9),INDEX(GP_IC_T,MATCH($B39,GP_IC_Sectors,0),10),IF(K39&gt;=INDEX(GP_IC_T,MATCH($B39,GP_IC_Sectors,0),11),INDEX(GP_IC_T,MATCH($B39,GP_IC_Sectors,0),12),0))))))))</f>
        <v>100</v>
      </c>
      <c r="AD39">
        <f t="shared" ref="AD39:AD42" si="51">IF(OR($B39="",L39=""),"",IF(ISERROR(MATCH($B39,GP_FM_Sectors,0)),0,IF(L39&gt;=INDEX(GP_FM_T,MATCH($B39,GP_FM_Sectors,0),1),INDEX(GP_FM_T,MATCH($B39,GP_FM_Sectors,0),2),IF(L39&gt;=INDEX(GP_FM_T,MATCH($B39,GP_FM_Sectors,0),3),INDEX(GP_FM_T,MATCH($B39,GP_FM_Sectors,0),4),IF(L39&gt;=INDEX(GP_FM_T,MATCH($B39,GP_FM_Sectors,0),5),INDEX(GP_FM_T,MATCH($B39,GP_FM_Sectors,0),6),IF(L39&gt;=INDEX(GP_FM_T,MATCH($B39,GP_FM_Sectors,0),7),INDEX(GP_FM_T,MATCH($B39,GP_FM_Sectors,0),8),IF(L39&gt;=INDEX(GP_FM_T,MATCH($B39,GP_FM_Sectors,0),9),INDEX(GP_FM_T,MATCH($B39,GP_FM_Sectors,0),10),IF(L39&gt;=INDEX(GP_FM_T,MATCH($B39,GP_FM_Sectors,0),11),INDEX(GP_FM_T,MATCH($B39,GP_FM_Sectors,0),12),0))))))))</f>
        <v>82</v>
      </c>
      <c r="AE39">
        <f t="shared" ref="AE39:AE42" si="52">IF(OR($B39="",M39=""),"",IF(ISERROR(MATCH($B39,GP_FN_Sectors,0)),0,IF(M39&gt;=INDEX(GP_FN_T,MATCH($B39,GP_FN_Sectors,0),1),INDEX(GP_FN_T,MATCH($B39,GP_FN_Sectors,0),2),IF(M39&gt;=INDEX(GP_FN_T,MATCH($B39,GP_FN_Sectors,0),3),INDEX(GP_FN_T,MATCH($B39,GP_FN_Sectors,0),4),IF(M39&gt;=INDEX(GP_FN_T,MATCH($B39,GP_FN_Sectors,0),5),INDEX(GP_FN_T,MATCH($B39,GP_FN_Sectors,0),6),IF(M39&gt;=INDEX(GP_FN_T,MATCH($B39,GP_FN_Sectors,0),7),INDEX(GP_FN_T,MATCH($B39,GP_FN_Sectors,0),8),IF(M39&gt;=INDEX(GP_FN_T,MATCH($B39,GP_FN_Sectors,0),9),INDEX(GP_FN_T,MATCH($B39,GP_FN_Sectors,0),10),IF(M39&gt;=INDEX(GP_FN_T,MATCH($B39,GP_FN_Sectors,0),11),INDEX(GP_FN_T,MATCH($B39,GP_FN_Sectors,0),12),0))))))))</f>
        <v>68</v>
      </c>
      <c r="AF39">
        <f t="shared" ref="AF39:AF42" si="53">IF(OR($B39="",N39=""),"",IF(ISERROR(MATCH($B39,GP_CX_Sectors,0)),0,IF(N39&lt;=INDEX(GP_CX_T,MATCH($B39,GP_CX_Sectors,0),1),INDEX(GP_CX_T,MATCH($B39,GP_CX_Sectors,0),2),IF(N39&lt;=INDEX(GP_CX_T,MATCH($B39,GP_CX_Sectors,0),3),INDEX(GP_CX_T,MATCH($B39,GP_CX_Sectors,0),4),IF(N39&lt;=INDEX(GP_CX_T,MATCH($B39,GP_CX_Sectors,0),5),INDEX(GP_CX_T,MATCH($B39,GP_CX_Sectors,0),6),IF(N39&lt;=INDEX(GP_CX_T,MATCH($B39,GP_CX_Sectors,0),7),INDEX(GP_CX_T,MATCH($B39,GP_CX_Sectors,0),8),IF(N39&lt;=INDEX(GP_CX_T,MATCH($B39,GP_CX_Sectors,0),9),INDEX(GP_CX_T,MATCH($B39,GP_CX_Sectors,0),10),IF(N39&lt;=INDEX(GP_CX_T,MATCH($B39,GP_CX_Sectors,0),11),INDEX(GP_CX_T,MATCH($B39,GP_CX_Sectors,0),12),0))))))))</f>
        <v>82</v>
      </c>
      <c r="AG39">
        <f t="shared" ref="AG39:AG42" si="54">IF(OR($B39="",O39=""),"",IF(ISERROR(MATCH($B39,GP_PE_Sectors,0)),0,IF(O39&lt;=INDEX(GP_PE_T,MATCH($B39,GP_PE_Sectors,0),1),INDEX(GP_PE_T,MATCH($B39,GP_PE_Sectors,0),2),IF(O39&lt;=INDEX(GP_PE_T,MATCH($B39,GP_PE_Sectors,0),3),INDEX(GP_PE_T,MATCH($B39,GP_PE_Sectors,0),4),IF(O39&lt;=INDEX(GP_PE_T,MATCH($B39,GP_PE_Sectors,0),5),INDEX(GP_PE_T,MATCH($B39,GP_PE_Sectors,0),6),IF(O39&lt;=INDEX(GP_PE_T,MATCH($B39,GP_PE_Sectors,0),7),INDEX(GP_PE_T,MATCH($B39,GP_PE_Sectors,0),8),IF(O39&lt;=INDEX(GP_PE_T,MATCH($B39,GP_PE_Sectors,0),9),INDEX(GP_PE_T,MATCH($B39,GP_PE_Sectors,0),10),IF(O39&lt;=INDEX(GP_PE_T,MATCH($B39,GP_PE_Sectors,0),11),INDEX(GP_PE_T,MATCH($B39,GP_PE_Sectors,0),12),0))))))))</f>
        <v>0</v>
      </c>
      <c r="AH39">
        <f t="shared" ref="AH39:AH42" si="55">IF(OR($B39="",P39=""),"",IF(ISERROR(MATCH($B39,GP_EV_Sectors,0)),0,IF(P39&lt;=INDEX(GP_EV_T,MATCH($B39,GP_EV_Sectors,0),1),INDEX(GP_EV_T,MATCH($B39,GP_EV_Sectors,0),2),IF(P39&lt;=INDEX(GP_EV_T,MATCH($B39,GP_EV_Sectors,0),3),INDEX(GP_EV_T,MATCH($B39,GP_EV_Sectors,0),4),IF(P39&lt;=INDEX(GP_EV_T,MATCH($B39,GP_EV_Sectors,0),5),INDEX(GP_EV_T,MATCH($B39,GP_EV_Sectors,0),6),IF(P39&lt;=INDEX(GP_EV_T,MATCH($B39,GP_EV_Sectors,0),7),INDEX(GP_EV_T,MATCH($B39,GP_EV_Sectors,0),8),IF(P39&lt;=INDEX(GP_EV_T,MATCH($B39,GP_EV_Sectors,0),9),INDEX(GP_EV_T,MATCH($B39,GP_EV_Sectors,0),10),IF(P39&lt;=INDEX(GP_EV_T,MATCH($B39,GP_EV_Sectors,0),11),INDEX(GP_EV_T,MATCH($B39,GP_EV_Sectors,0),12),0))))))))</f>
        <v>0</v>
      </c>
      <c r="AI39">
        <f t="shared" ref="AI39:AI42" si="56">IF(OR($B39="",Q39=""),"",IF(ISERROR(MATCH($B39,GP_PF_Sectors,0)),0,IF(Q39&lt;=INDEX(GP_PF_T,MATCH($B39,GP_PF_Sectors,0),1),INDEX(GP_PF_T,MATCH($B39,GP_PF_Sectors,0),2),IF(Q39&lt;=INDEX(GP_PF_T,MATCH($B39,GP_PF_Sectors,0),3),INDEX(GP_PF_T,MATCH($B39,GP_PF_Sectors,0),4),IF(Q39&lt;=INDEX(GP_PF_T,MATCH($B39,GP_PF_Sectors,0),5),INDEX(GP_PF_T,MATCH($B39,GP_PF_Sectors,0),6),IF(Q39&lt;=INDEX(GP_PF_T,MATCH($B39,GP_PF_Sectors,0),7),INDEX(GP_PF_T,MATCH($B39,GP_PF_Sectors,0),8),IF(Q39&lt;=INDEX(GP_PF_T,MATCH($B39,GP_PF_Sectors,0),9),INDEX(GP_PF_T,MATCH($B39,GP_PF_Sectors,0),10),IF(Q39&lt;=INDEX(GP_PF_T,MATCH($B39,GP_PF_Sectors,0),11),INDEX(GP_PF_T,MATCH($B39,GP_PF_Sectors,0),12),0))))))))</f>
        <v>8</v>
      </c>
      <c r="AJ39">
        <f t="shared" ref="AJ39:AJ42" si="57">IF(OR($B39="",R39=""),"",IF(ISERROR(MATCH($B39,GP_DY_Sectors,0)),0,IF(R39&gt;=INDEX(GP_DY_T,MATCH($B39,GP_DY_Sectors,0),1),INDEX(GP_DY_T,MATCH($B39,GP_DY_Sectors,0),2),IF(R39&gt;=INDEX(GP_DY_T,MATCH($B39,GP_DY_Sectors,0),3),INDEX(GP_DY_T,MATCH($B39,GP_DY_Sectors,0),4),IF(R39&gt;=INDEX(GP_DY_T,MATCH($B39,GP_DY_Sectors,0),5),INDEX(GP_DY_T,MATCH($B39,GP_DY_Sectors,0),6),IF(R39&gt;=INDEX(GP_DY_T,MATCH($B39,GP_DY_Sectors,0),7),INDEX(GP_DY_T,MATCH($B39,GP_DY_Sectors,0),8),IF(R39&gt;=INDEX(GP_DY_T,MATCH($B39,GP_DY_Sectors,0),9),INDEX(GP_DY_T,MATCH($B39,GP_DY_Sectors,0),10),IF(R39&gt;=INDEX(GP_DY_T,MATCH($B39,GP_DY_Sectors,0),11),INDEX(GP_DY_T,MATCH($B39,GP_DY_Sectors,0),12),0))))))))</f>
        <v>5</v>
      </c>
      <c r="AK39">
        <f t="shared" ref="AK39:AK42" si="58">IF(OR($B39="",S39=""),"",IF(ISERROR(MATCH($B39,GP_PR_Sectors,0)),0,IF(S39&gt;=INDEX(GP_PR_T,MATCH($B39,GP_PR_Sectors,0),1),INDEX(GP_PR_T,MATCH($B39,GP_PR_Sectors,0),2),IF(S39&gt;=INDEX(GP_PR_T,MATCH($B39,GP_PR_Sectors,0),3),INDEX(GP_PR_T,MATCH($B39,GP_PR_Sectors,0),4),IF(S39&gt;=INDEX(GP_PR_T,MATCH($B39,GP_PR_Sectors,0),5),INDEX(GP_PR_T,MATCH($B39,GP_PR_Sectors,0),6),IF(S39&gt;=INDEX(GP_PR_T,MATCH($B39,GP_PR_Sectors,0),7),INDEX(GP_PR_T,MATCH($B39,GP_PR_Sectors,0),8),IF(S39&gt;=INDEX(GP_PR_T,MATCH($B39,GP_PR_Sectors,0),9),INDEX(GP_PR_T,MATCH($B39,GP_PR_Sectors,0),10),IF(S39&gt;=INDEX(GP_PR_T,MATCH($B39,GP_PR_Sectors,0),11),INDEX(GP_PR_T,MATCH($B39,GP_PR_Sectors,0),12),0))))))))</f>
        <v>0</v>
      </c>
      <c r="AL39">
        <f t="shared" ref="AL39:AL42" si="59">IF(OR($B39="",T39=""),"",IF(ISERROR(MATCH($B39,GP_BY_Sectors,0)),0,IF(T39&gt;=INDEX(GP_BY_T,MATCH($B39,GP_BY_Sectors,0),1),INDEX(GP_BY_T,MATCH($B39,GP_BY_Sectors,0),2),IF(T39&gt;=INDEX(GP_BY_T,MATCH($B39,GP_BY_Sectors,0),3),INDEX(GP_BY_T,MATCH($B39,GP_BY_Sectors,0),4),IF(T39&gt;=INDEX(GP_BY_T,MATCH($B39,GP_BY_Sectors,0),5),INDEX(GP_BY_T,MATCH($B39,GP_BY_Sectors,0),6),IF(T39&gt;=INDEX(GP_BY_T,MATCH($B39,GP_BY_Sectors,0),7),INDEX(GP_BY_T,MATCH($B39,GP_BY_Sectors,0),8),IF(T39&gt;=INDEX(GP_BY_T,MATCH($B39,GP_BY_Sectors,0),9),INDEX(GP_BY_T,MATCH($B39,GP_BY_Sectors,0),10),IF(T39&gt;=INDEX(GP_BY_T,MATCH($B39,GP_BY_Sectors,0),11),INDEX(GP_BY_T,MATCH($B39,GP_BY_Sectors,0),12),0))))))))</f>
        <v>82</v>
      </c>
      <c r="AM39">
        <f t="shared" ref="AM39:AM42" si="60">IF($B39="","",U39*0.35+V39*0.35+W39*0.3)</f>
        <v>89.5</v>
      </c>
      <c r="AN39">
        <f t="shared" ref="AN39:AN42" si="61">IF($B39="","",X39*0.4+Y39*0.35+Z39*0.25)</f>
        <v>89.5</v>
      </c>
      <c r="AO39">
        <f t="shared" ref="AO39:AO42" si="62">IF($B39="","",AA39*0.35+AB39*0.3+AC39*0.35)</f>
        <v>79</v>
      </c>
      <c r="AP39">
        <f t="shared" ref="AP39:AP42" si="63">IF($B39="","",AD39*0.4+AE39*0.35+AF39*0.25)</f>
        <v>77.099999999999994</v>
      </c>
      <c r="AQ39">
        <f t="shared" ref="AQ39:AQ42" si="64">IF($B39="","",AG39*0.35+AH39*0.35+AI39*0.3)</f>
        <v>2.4</v>
      </c>
      <c r="AR39">
        <f t="shared" si="41"/>
        <v>30.95</v>
      </c>
      <c r="AS39">
        <f t="shared" ref="AS39:AS42" si="65">IF($B39="","",MIN(100,MAX(0,ROUND(AM39*INDEX(GP_W_P1,MATCH($B39,GP_Weights_Sectors,0))+AN39*INDEX(GP_W_P2,MATCH($B39,GP_Weights_Sectors,0))+AO39*INDEX(GP_W_P3,MATCH($B39,GP_Weights_Sectors,0))+AP39*INDEX(GP_W_P4,MATCH($B39,GP_Weights_Sectors,0))+AQ39*INDEX(GP_W_P5,MATCH($B39,GP_Weights_Sectors,0))+AR39*INDEX(GP_W_P6,MATCH($B39,GP_Weights_Sectors,0)),0))))</f>
        <v>66</v>
      </c>
      <c r="AT39" s="12">
        <v>1</v>
      </c>
      <c r="AU39" s="12">
        <v>1</v>
      </c>
      <c r="AV39" s="12">
        <v>0</v>
      </c>
      <c r="AW39">
        <f t="shared" ref="AW39:AW42" si="66">MAX(-10,MIN(10,AT39+AU39+AV39))</f>
        <v>2</v>
      </c>
      <c r="AX39" s="38" t="e" vm="36">
        <v>#VALUE!</v>
      </c>
      <c r="AY39" s="59" cm="1">
        <f t="array" aca="1" ref="AY39" ca="1">_FV(AX39,"PRECIO")</f>
        <v>873.12</v>
      </c>
      <c r="AZ39" s="60">
        <v>600</v>
      </c>
      <c r="BA39" s="55">
        <f>IFERROR(INDEX('DCF Simplified'!$Y$4:$Y$42,MATCH(A39,'DCF Simplified'!$A$4:$A$42,0)),"")</f>
        <v>304.0731096731343</v>
      </c>
      <c r="BB39" s="58">
        <f t="shared" ref="BB39:BB42" ca="1" si="67">IF(OR(AY39="",AZ39=""),"",(AZ39-AY39)/AY39)</f>
        <v>-0.31280923584387027</v>
      </c>
      <c r="BD39">
        <v>0.04</v>
      </c>
      <c r="BE39">
        <v>51</v>
      </c>
      <c r="BF39">
        <v>0.06</v>
      </c>
      <c r="BG39">
        <f t="shared" ref="BG39:BG42" si="68">IF(BD39&gt;0.1,100,IF(BD39&gt;0.05,80,IF(BD39&gt;0,65,IF(BD39&gt;-0.05,45,IF(BD39&gt;-0.1,25,10)))))</f>
        <v>65</v>
      </c>
      <c r="BH39">
        <f t="shared" ref="BH39:BH42" si="69">IF(AND(BE39&gt;=40,BE39&lt;=60),70,IF(AND(BE39&gt;60,BE39&lt;=70),85,IF(BE39&gt;70,50,IF(AND(BE39&gt;=30,BE39&lt;40),55,40))))</f>
        <v>70</v>
      </c>
      <c r="BI39">
        <f t="shared" ref="BI39:BI42" si="70">IF(BF39&gt;0.2,100,IF(BF39&gt;0.1,80,IF(BF39&gt;0,65,IF(BF39&gt;-0.1,45,IF(BF39&gt;-0.2,25,10)))))</f>
        <v>65</v>
      </c>
      <c r="BJ39">
        <f t="shared" ref="BJ39:BJ42" si="71">ROUND(BG39*0.4+BH39*0.25+BI39*0.35,1)</f>
        <v>66.3</v>
      </c>
      <c r="BK39">
        <f t="shared" ref="BK39:BK42" si="72">IF(OR(AS39="",AQ39="",BJ39=""),"",ROUND(AS39*0.4+MAX(15,MIN(90,AQ39))*0.2+BJ39*0.25+MIN(100,MAX(0,AW39*10))*0.15,0))</f>
        <v>49</v>
      </c>
      <c r="BL39" t="str">
        <f t="shared" ref="BL39:BL42" si="73">IF(BK39="","",IF(BK39&gt;=85,"🟢 STRONG",IF(BK39&gt;=70,"🟡 FAVORABLE",IF(BK39&gt;=55,"⚪ NEUTRAL",IF(BK39&gt;=40,"🟠 WEAK","🔴 AVOID")))))</f>
        <v>🟠 WEAK</v>
      </c>
      <c r="BM39" s="50" t="str">
        <f t="shared" ref="BM39:BM42" si="74">IF(BK39="","",IF(AND(BK39&gt;=75,BJ39&gt;=70,AW39&gt;=6),"🚀 STRONG BUY",IF(AND(BK39&gt;=65,BJ39&gt;=55),"✅ BUY",IF(BK39&gt;=55,"⚠️ HOLD",IF(OR(BK39&lt;45,AND(BJ39&lt;35,AW39&lt;3)),"🔴 SELL","🟠 UNDERWEIGHT")))))</f>
        <v>🟠 UNDERWEIGHT</v>
      </c>
    </row>
    <row r="40" spans="1:65" x14ac:dyDescent="0.4">
      <c r="A40" t="s">
        <v>283</v>
      </c>
      <c r="B40" t="s">
        <v>0</v>
      </c>
      <c r="C40" s="1">
        <v>-0.127</v>
      </c>
      <c r="D40" s="1">
        <v>0.06</v>
      </c>
      <c r="E40" s="1">
        <v>-4.3999999999999997E-2</v>
      </c>
      <c r="F40" s="1">
        <v>0.25</v>
      </c>
      <c r="G40" s="1">
        <v>0.15</v>
      </c>
      <c r="H40" s="33">
        <v>2</v>
      </c>
      <c r="I40" s="33">
        <v>8.5</v>
      </c>
      <c r="J40" s="33">
        <v>5.98</v>
      </c>
      <c r="K40" s="34">
        <v>2</v>
      </c>
      <c r="L40" s="18">
        <v>2.8000000000000001E-2</v>
      </c>
      <c r="M40" s="33">
        <v>-0.65</v>
      </c>
      <c r="N40" s="18">
        <v>2.8000000000000001E-2</v>
      </c>
      <c r="O40" s="33">
        <v>122</v>
      </c>
      <c r="P40" s="33">
        <v>301.60000000000002</v>
      </c>
      <c r="Q40" s="33">
        <v>733.3</v>
      </c>
      <c r="R40" s="18">
        <v>0</v>
      </c>
      <c r="S40" s="18">
        <v>0</v>
      </c>
      <c r="T40" s="18">
        <v>0</v>
      </c>
      <c r="U40">
        <f t="shared" si="42"/>
        <v>0</v>
      </c>
      <c r="V40">
        <f t="shared" si="43"/>
        <v>32</v>
      </c>
      <c r="W40">
        <f t="shared" si="44"/>
        <v>0</v>
      </c>
      <c r="X40">
        <f t="shared" si="45"/>
        <v>100</v>
      </c>
      <c r="Y40">
        <f t="shared" si="46"/>
        <v>100</v>
      </c>
      <c r="Z40">
        <f t="shared" si="47"/>
        <v>100</v>
      </c>
      <c r="AA40">
        <f t="shared" si="48"/>
        <v>0</v>
      </c>
      <c r="AB40">
        <f t="shared" si="49"/>
        <v>100</v>
      </c>
      <c r="AC40">
        <f t="shared" si="50"/>
        <v>48</v>
      </c>
      <c r="AD40">
        <f t="shared" si="51"/>
        <v>28</v>
      </c>
      <c r="AE40">
        <f t="shared" si="52"/>
        <v>0</v>
      </c>
      <c r="AF40">
        <f t="shared" si="53"/>
        <v>100</v>
      </c>
      <c r="AG40">
        <f t="shared" si="54"/>
        <v>0</v>
      </c>
      <c r="AH40">
        <f t="shared" si="55"/>
        <v>0</v>
      </c>
      <c r="AI40">
        <f t="shared" si="56"/>
        <v>0</v>
      </c>
      <c r="AJ40">
        <f t="shared" si="57"/>
        <v>5</v>
      </c>
      <c r="AK40">
        <f t="shared" si="58"/>
        <v>0</v>
      </c>
      <c r="AL40">
        <f t="shared" si="59"/>
        <v>8</v>
      </c>
      <c r="AM40">
        <f t="shared" si="60"/>
        <v>11.2</v>
      </c>
      <c r="AN40">
        <f t="shared" si="61"/>
        <v>100</v>
      </c>
      <c r="AO40">
        <f t="shared" si="62"/>
        <v>46.8</v>
      </c>
      <c r="AP40">
        <f t="shared" si="63"/>
        <v>36.200000000000003</v>
      </c>
      <c r="AQ40">
        <f t="shared" si="64"/>
        <v>0</v>
      </c>
      <c r="AR40">
        <f t="shared" si="41"/>
        <v>5.05</v>
      </c>
      <c r="AS40">
        <f t="shared" si="65"/>
        <v>35</v>
      </c>
      <c r="AT40" s="12">
        <v>-1</v>
      </c>
      <c r="AU40" s="12">
        <v>-1</v>
      </c>
      <c r="AV40" s="12">
        <v>0</v>
      </c>
      <c r="AW40">
        <f t="shared" si="66"/>
        <v>-2</v>
      </c>
      <c r="AX40" s="38" t="e" vm="37">
        <v>#VALUE!</v>
      </c>
      <c r="AY40" s="59" cm="1">
        <f t="array" aca="1" ref="AY40" ca="1">_FV(AX40,"PRECIO")</f>
        <v>133.72999999999999</v>
      </c>
      <c r="AZ40" s="60">
        <v>60</v>
      </c>
      <c r="BA40" s="55">
        <f>IFERROR(INDEX('DCF Simplified'!$Y$4:$Y$42,MATCH(A40,'DCF Simplified'!$A$4:$A$42,0)),"")</f>
        <v>3.3193675105489429</v>
      </c>
      <c r="BB40" s="58">
        <f t="shared" ca="1" si="67"/>
        <v>-0.5513347790323786</v>
      </c>
      <c r="BD40">
        <v>0.04</v>
      </c>
      <c r="BE40">
        <v>51</v>
      </c>
      <c r="BF40">
        <v>0.06</v>
      </c>
      <c r="BG40">
        <f t="shared" si="68"/>
        <v>65</v>
      </c>
      <c r="BH40">
        <f t="shared" si="69"/>
        <v>70</v>
      </c>
      <c r="BI40">
        <f t="shared" si="70"/>
        <v>65</v>
      </c>
      <c r="BJ40">
        <f t="shared" si="71"/>
        <v>66.3</v>
      </c>
      <c r="BK40">
        <f t="shared" si="72"/>
        <v>34</v>
      </c>
      <c r="BL40" t="str">
        <f t="shared" si="73"/>
        <v>🔴 AVOID</v>
      </c>
      <c r="BM40" s="50" t="str">
        <f t="shared" si="74"/>
        <v>🔴 SELL</v>
      </c>
    </row>
    <row r="41" spans="1:65" x14ac:dyDescent="0.4">
      <c r="A41" t="s">
        <v>284</v>
      </c>
      <c r="B41" t="s">
        <v>0</v>
      </c>
      <c r="C41" s="1">
        <v>0.41799999999999998</v>
      </c>
      <c r="D41" s="1">
        <v>0.17799999999999999</v>
      </c>
      <c r="E41" s="1">
        <v>0.107</v>
      </c>
      <c r="F41" s="1">
        <v>0.22</v>
      </c>
      <c r="G41" s="1">
        <v>0.65200000000000002</v>
      </c>
      <c r="H41" s="33">
        <v>2.2000000000000002</v>
      </c>
      <c r="I41" s="33">
        <v>0.6</v>
      </c>
      <c r="J41" s="33">
        <v>1.55</v>
      </c>
      <c r="K41" s="34">
        <v>10</v>
      </c>
      <c r="L41" s="18">
        <v>0.185</v>
      </c>
      <c r="M41" s="33">
        <v>1.42</v>
      </c>
      <c r="N41" s="18">
        <v>2.1000000000000001E-2</v>
      </c>
      <c r="O41" s="33">
        <v>38</v>
      </c>
      <c r="P41" s="33">
        <v>42.8</v>
      </c>
      <c r="Q41" s="33">
        <v>49.8</v>
      </c>
      <c r="R41" s="18">
        <v>1E-3</v>
      </c>
      <c r="S41" s="18">
        <v>7.0000000000000007E-2</v>
      </c>
      <c r="T41" s="18">
        <v>0.02</v>
      </c>
      <c r="U41">
        <f t="shared" si="42"/>
        <v>100</v>
      </c>
      <c r="V41">
        <f t="shared" si="43"/>
        <v>85</v>
      </c>
      <c r="W41">
        <f t="shared" si="44"/>
        <v>85</v>
      </c>
      <c r="X41">
        <f t="shared" si="45"/>
        <v>100</v>
      </c>
      <c r="Y41">
        <f t="shared" si="46"/>
        <v>100</v>
      </c>
      <c r="Z41">
        <f t="shared" si="47"/>
        <v>100</v>
      </c>
      <c r="AA41">
        <f t="shared" si="48"/>
        <v>85</v>
      </c>
      <c r="AB41">
        <f t="shared" si="49"/>
        <v>82</v>
      </c>
      <c r="AC41">
        <f t="shared" si="50"/>
        <v>100</v>
      </c>
      <c r="AD41">
        <f t="shared" si="51"/>
        <v>100</v>
      </c>
      <c r="AE41">
        <f t="shared" si="52"/>
        <v>100</v>
      </c>
      <c r="AF41">
        <f t="shared" si="53"/>
        <v>100</v>
      </c>
      <c r="AG41">
        <f t="shared" si="54"/>
        <v>10</v>
      </c>
      <c r="AH41">
        <f t="shared" si="55"/>
        <v>0</v>
      </c>
      <c r="AI41">
        <f t="shared" si="56"/>
        <v>8</v>
      </c>
      <c r="AJ41">
        <f t="shared" si="57"/>
        <v>5</v>
      </c>
      <c r="AK41">
        <f t="shared" si="58"/>
        <v>0</v>
      </c>
      <c r="AL41">
        <f t="shared" si="59"/>
        <v>82</v>
      </c>
      <c r="AM41">
        <f t="shared" si="60"/>
        <v>90.25</v>
      </c>
      <c r="AN41">
        <f t="shared" si="61"/>
        <v>100</v>
      </c>
      <c r="AO41">
        <f t="shared" si="62"/>
        <v>89.35</v>
      </c>
      <c r="AP41">
        <f t="shared" si="63"/>
        <v>100</v>
      </c>
      <c r="AQ41">
        <f t="shared" si="64"/>
        <v>5.9</v>
      </c>
      <c r="AR41">
        <f t="shared" si="41"/>
        <v>30.95</v>
      </c>
      <c r="AS41">
        <f t="shared" si="65"/>
        <v>74</v>
      </c>
      <c r="AT41" s="12">
        <v>1</v>
      </c>
      <c r="AU41" s="12">
        <v>1</v>
      </c>
      <c r="AV41" s="12">
        <v>1</v>
      </c>
      <c r="AW41">
        <f t="shared" si="66"/>
        <v>3</v>
      </c>
      <c r="AX41" s="38" t="e" vm="38">
        <v>#VALUE!</v>
      </c>
      <c r="AY41" s="59" cm="1">
        <f t="array" aca="1" ref="AY41" ca="1">_FV(AX41,"PRECIO")</f>
        <v>252.4</v>
      </c>
      <c r="AZ41" s="60">
        <v>184</v>
      </c>
      <c r="BA41" s="55">
        <f>IFERROR(INDEX('DCF Simplified'!$Y$4:$Y$42,MATCH(A41,'DCF Simplified'!$A$4:$A$42,0)),"")</f>
        <v>109.3186665521693</v>
      </c>
      <c r="BB41" s="58">
        <f t="shared" ca="1" si="67"/>
        <v>-0.27099841521394613</v>
      </c>
      <c r="BD41">
        <v>0.04</v>
      </c>
      <c r="BE41">
        <v>51</v>
      </c>
      <c r="BF41">
        <v>0.06</v>
      </c>
      <c r="BG41">
        <f t="shared" si="68"/>
        <v>65</v>
      </c>
      <c r="BH41">
        <f t="shared" si="69"/>
        <v>70</v>
      </c>
      <c r="BI41">
        <f t="shared" si="70"/>
        <v>65</v>
      </c>
      <c r="BJ41">
        <f t="shared" si="71"/>
        <v>66.3</v>
      </c>
      <c r="BK41">
        <f t="shared" si="72"/>
        <v>54</v>
      </c>
      <c r="BL41" t="str">
        <f t="shared" si="73"/>
        <v>🟠 WEAK</v>
      </c>
      <c r="BM41" s="50" t="str">
        <f t="shared" si="74"/>
        <v>🟠 UNDERWEIGHT</v>
      </c>
    </row>
    <row r="42" spans="1:65" x14ac:dyDescent="0.4">
      <c r="A42" t="s">
        <v>285</v>
      </c>
      <c r="B42" t="s">
        <v>0</v>
      </c>
      <c r="C42" s="1">
        <v>0.20699999999999999</v>
      </c>
      <c r="D42" s="1">
        <v>0.13</v>
      </c>
      <c r="E42" s="1">
        <v>0.153</v>
      </c>
      <c r="F42" s="1">
        <v>0.1</v>
      </c>
      <c r="G42" s="1">
        <v>0.25</v>
      </c>
      <c r="H42" s="33">
        <v>1.3</v>
      </c>
      <c r="I42" s="33">
        <v>1.65</v>
      </c>
      <c r="J42" s="33">
        <v>1.28</v>
      </c>
      <c r="K42" s="34">
        <v>32.700000000000003</v>
      </c>
      <c r="L42" s="18">
        <v>0.115</v>
      </c>
      <c r="M42" s="33">
        <v>0.78</v>
      </c>
      <c r="N42" s="18">
        <v>3.5000000000000003E-2</v>
      </c>
      <c r="O42" s="33">
        <v>25.8</v>
      </c>
      <c r="P42" s="33">
        <v>23.7</v>
      </c>
      <c r="Q42" s="33">
        <v>43.7</v>
      </c>
      <c r="R42" s="18">
        <v>1.2E-2</v>
      </c>
      <c r="S42" s="18">
        <v>0.4</v>
      </c>
      <c r="T42" s="18">
        <v>0.02</v>
      </c>
      <c r="U42">
        <f t="shared" si="42"/>
        <v>88</v>
      </c>
      <c r="V42">
        <f t="shared" si="43"/>
        <v>70</v>
      </c>
      <c r="W42">
        <f t="shared" si="44"/>
        <v>100</v>
      </c>
      <c r="X42">
        <f t="shared" si="45"/>
        <v>85</v>
      </c>
      <c r="Y42">
        <f t="shared" si="46"/>
        <v>100</v>
      </c>
      <c r="Z42">
        <f t="shared" si="47"/>
        <v>68</v>
      </c>
      <c r="AA42">
        <f t="shared" si="48"/>
        <v>68</v>
      </c>
      <c r="AB42">
        <f t="shared" si="49"/>
        <v>68</v>
      </c>
      <c r="AC42">
        <f t="shared" si="50"/>
        <v>100</v>
      </c>
      <c r="AD42">
        <f t="shared" si="51"/>
        <v>100</v>
      </c>
      <c r="AE42">
        <f t="shared" si="52"/>
        <v>68</v>
      </c>
      <c r="AF42">
        <f t="shared" si="53"/>
        <v>82</v>
      </c>
      <c r="AG42">
        <f t="shared" si="54"/>
        <v>48</v>
      </c>
      <c r="AH42">
        <f t="shared" si="55"/>
        <v>28</v>
      </c>
      <c r="AI42">
        <f t="shared" si="56"/>
        <v>28</v>
      </c>
      <c r="AJ42">
        <f t="shared" si="57"/>
        <v>45</v>
      </c>
      <c r="AK42">
        <f t="shared" si="58"/>
        <v>100</v>
      </c>
      <c r="AL42">
        <f t="shared" si="59"/>
        <v>82</v>
      </c>
      <c r="AM42">
        <f t="shared" si="60"/>
        <v>85.3</v>
      </c>
      <c r="AN42">
        <f t="shared" si="61"/>
        <v>86</v>
      </c>
      <c r="AO42">
        <f t="shared" si="62"/>
        <v>79.199999999999989</v>
      </c>
      <c r="AP42">
        <f t="shared" si="63"/>
        <v>84.3</v>
      </c>
      <c r="AQ42">
        <f t="shared" si="64"/>
        <v>34.999999999999993</v>
      </c>
      <c r="AR42">
        <f t="shared" si="41"/>
        <v>68.95</v>
      </c>
      <c r="AS42">
        <f t="shared" si="65"/>
        <v>75</v>
      </c>
      <c r="AT42" s="12">
        <v>1</v>
      </c>
      <c r="AU42" s="12">
        <v>1</v>
      </c>
      <c r="AV42" s="12">
        <v>1</v>
      </c>
      <c r="AW42">
        <f t="shared" si="66"/>
        <v>3</v>
      </c>
      <c r="AX42" s="38" t="e" vm="39">
        <v>#VALUE!</v>
      </c>
      <c r="AY42" s="59" cm="1">
        <f t="array" aca="1" ref="AY42" ca="1">_FV(AX42,"PRECIO")</f>
        <v>357.1</v>
      </c>
      <c r="AZ42" s="60">
        <v>321</v>
      </c>
      <c r="BA42" s="55">
        <f>IFERROR(INDEX('DCF Simplified'!$Y$4:$Y$42,MATCH(A42,'DCF Simplified'!$A$4:$A$42,0)),"")</f>
        <v>144.0306478976463</v>
      </c>
      <c r="BB42" s="58">
        <f t="shared" ca="1" si="67"/>
        <v>-0.10109213105572674</v>
      </c>
      <c r="BD42">
        <v>0.04</v>
      </c>
      <c r="BE42">
        <v>51</v>
      </c>
      <c r="BF42">
        <v>0.06</v>
      </c>
      <c r="BG42">
        <f t="shared" si="68"/>
        <v>65</v>
      </c>
      <c r="BH42">
        <f t="shared" si="69"/>
        <v>70</v>
      </c>
      <c r="BI42">
        <f t="shared" si="70"/>
        <v>65</v>
      </c>
      <c r="BJ42">
        <f t="shared" si="71"/>
        <v>66.3</v>
      </c>
      <c r="BK42">
        <f t="shared" si="72"/>
        <v>58</v>
      </c>
      <c r="BL42" t="str">
        <f t="shared" si="73"/>
        <v>⚪ NEUTRAL</v>
      </c>
      <c r="BM42" s="50" t="str">
        <f t="shared" si="74"/>
        <v>⚠️ HOLD</v>
      </c>
    </row>
    <row r="43" spans="1:65" x14ac:dyDescent="0.4">
      <c r="A43" t="s">
        <v>290</v>
      </c>
      <c r="B43" t="s">
        <v>44</v>
      </c>
      <c r="C43" s="1">
        <v>0.20499999999999999</v>
      </c>
      <c r="D43" s="1">
        <v>-3.3000000000000002E-2</v>
      </c>
      <c r="E43" s="1">
        <v>0.17</v>
      </c>
      <c r="F43" s="1">
        <v>3.55</v>
      </c>
      <c r="G43" s="1">
        <v>1.5</v>
      </c>
      <c r="H43" s="33">
        <v>2.5</v>
      </c>
      <c r="I43" s="33">
        <v>2</v>
      </c>
      <c r="J43" s="33">
        <v>4.96</v>
      </c>
      <c r="K43" s="34">
        <v>5</v>
      </c>
      <c r="L43" s="18">
        <v>-0.06</v>
      </c>
      <c r="M43" s="33">
        <v>-0.3</v>
      </c>
      <c r="N43" s="18">
        <v>0.35</v>
      </c>
      <c r="O43" s="33">
        <v>46</v>
      </c>
      <c r="P43" s="33">
        <v>74</v>
      </c>
      <c r="Q43" s="33">
        <v>-16</v>
      </c>
      <c r="R43" s="18">
        <v>0</v>
      </c>
      <c r="S43" s="18">
        <v>0</v>
      </c>
      <c r="T43" s="18">
        <v>0</v>
      </c>
      <c r="U43">
        <f t="shared" ref="U43:U44" si="75">IF(OR($B43="",C43=""),"",IF(ISERROR(MATCH($B43,GP_ROE_Sectors,0)),0,IF(C43&gt;=INDEX(GP_ROE_T,MATCH($B43,GP_ROE_Sectors,0),1),INDEX(GP_ROE_T,MATCH($B43,GP_ROE_Sectors,0),2),IF(C43&gt;=INDEX(GP_ROE_T,MATCH($B43,GP_ROE_Sectors,0),3),INDEX(GP_ROE_T,MATCH($B43,GP_ROE_Sectors,0),4),IF(C43&gt;=INDEX(GP_ROE_T,MATCH($B43,GP_ROE_Sectors,0),5),INDEX(GP_ROE_T,MATCH($B43,GP_ROE_Sectors,0),6),IF(C43&gt;=INDEX(GP_ROE_T,MATCH($B43,GP_ROE_Sectors,0),7),INDEX(GP_ROE_T,MATCH($B43,GP_ROE_Sectors,0),8),IF(C43&gt;=INDEX(GP_ROE_T,MATCH($B43,GP_ROE_Sectors,0),9),INDEX(GP_ROE_T,MATCH($B43,GP_ROE_Sectors,0),10),IF(C43&gt;=INDEX(GP_ROE_T,MATCH($B43,GP_ROE_Sectors,0),11),INDEX(GP_ROE_T,MATCH($B43,GP_ROE_Sectors,0),12),0))))))))</f>
        <v>72</v>
      </c>
      <c r="V43">
        <f t="shared" ref="V43:V44" si="76">IF(OR($B43="",D43=""),"",IF(ISERROR(MATCH($B43,GP_ROIC_Sectors,0)),0,IF(D43&gt;=INDEX(GP_ROIC_T,MATCH($B43,GP_ROIC_Sectors,0),1),INDEX(GP_ROIC_T,MATCH($B43,GP_ROIC_Sectors,0),2),IF(D43&gt;=INDEX(GP_ROIC_T,MATCH($B43,GP_ROIC_Sectors,0),3),INDEX(GP_ROIC_T,MATCH($B43,GP_ROIC_Sectors,0),4),IF(D43&gt;=INDEX(GP_ROIC_T,MATCH($B43,GP_ROIC_Sectors,0),5),INDEX(GP_ROIC_T,MATCH($B43,GP_ROIC_Sectors,0),6),IF(D43&gt;=INDEX(GP_ROIC_T,MATCH($B43,GP_ROIC_Sectors,0),7),INDEX(GP_ROIC_T,MATCH($B43,GP_ROIC_Sectors,0),8),IF(D43&gt;=INDEX(GP_ROIC_T,MATCH($B43,GP_ROIC_Sectors,0),9),INDEX(GP_ROIC_T,MATCH($B43,GP_ROIC_Sectors,0),10),IF(D43&gt;=INDEX(GP_ROIC_T,MATCH($B43,GP_ROIC_Sectors,0),11),INDEX(GP_ROIC_T,MATCH($B43,GP_ROIC_Sectors,0),12),0))))))))</f>
        <v>0</v>
      </c>
      <c r="W43">
        <f t="shared" ref="W43:W44" si="77">IF(OR($B43="",E43=""),"",IF(ISERROR(MATCH($B43,GP_NM_Sectors,0)),0,IF(E43&gt;=INDEX(GP_NM_T,MATCH($B43,GP_NM_Sectors,0),1),INDEX(GP_NM_T,MATCH($B43,GP_NM_Sectors,0),2),IF(E43&gt;=INDEX(GP_NM_T,MATCH($B43,GP_NM_Sectors,0),3),INDEX(GP_NM_T,MATCH($B43,GP_NM_Sectors,0),4),IF(E43&gt;=INDEX(GP_NM_T,MATCH($B43,GP_NM_Sectors,0),5),INDEX(GP_NM_T,MATCH($B43,GP_NM_Sectors,0),6),IF(E43&gt;=INDEX(GP_NM_T,MATCH($B43,GP_NM_Sectors,0),7),INDEX(GP_NM_T,MATCH($B43,GP_NM_Sectors,0),8),IF(E43&gt;=INDEX(GP_NM_T,MATCH($B43,GP_NM_Sectors,0),9),INDEX(GP_NM_T,MATCH($B43,GP_NM_Sectors,0),10),IF(E43&gt;=INDEX(GP_NM_T,MATCH($B43,GP_NM_Sectors,0),11),INDEX(GP_NM_T,MATCH($B43,GP_NM_Sectors,0),12),0))))))))</f>
        <v>72</v>
      </c>
      <c r="X43">
        <f t="shared" ref="X43:X44" si="78">IF(OR($B43="",F43=""),"",IF(ISERROR(MATCH($B43,GP_RG_Sectors,0)),0,IF(F43&gt;=INDEX(GP_RG_T,MATCH($B43,GP_RG_Sectors,0),1),INDEX(GP_RG_T,MATCH($B43,GP_RG_Sectors,0),2),IF(F43&gt;=INDEX(GP_RG_T,MATCH($B43,GP_RG_Sectors,0),3),INDEX(GP_RG_T,MATCH($B43,GP_RG_Sectors,0),4),IF(F43&gt;=INDEX(GP_RG_T,MATCH($B43,GP_RG_Sectors,0),5),INDEX(GP_RG_T,MATCH($B43,GP_RG_Sectors,0),6),IF(F43&gt;=INDEX(GP_RG_T,MATCH($B43,GP_RG_Sectors,0),7),INDEX(GP_RG_T,MATCH($B43,GP_RG_Sectors,0),8),IF(F43&gt;=INDEX(GP_RG_T,MATCH($B43,GP_RG_Sectors,0),9),INDEX(GP_RG_T,MATCH($B43,GP_RG_Sectors,0),10),IF(F43&gt;=INDEX(GP_RG_T,MATCH($B43,GP_RG_Sectors,0),11),INDEX(GP_RG_T,MATCH($B43,GP_RG_Sectors,0),12),0))))))))</f>
        <v>100</v>
      </c>
      <c r="Y43">
        <f t="shared" ref="Y43:Y44" si="79">IF(OR($B43="",G43=""),"",IF(ISERROR(MATCH($B43,GP_EG_Sectors,0)),0,IF(G43&gt;=INDEX(GP_EG_T,MATCH($B43,GP_EG_Sectors,0),1),INDEX(GP_EG_T,MATCH($B43,GP_EG_Sectors,0),2),IF(G43&gt;=INDEX(GP_EG_T,MATCH($B43,GP_EG_Sectors,0),3),INDEX(GP_EG_T,MATCH($B43,GP_EG_Sectors,0),4),IF(G43&gt;=INDEX(GP_EG_T,MATCH($B43,GP_EG_Sectors,0),5),INDEX(GP_EG_T,MATCH($B43,GP_EG_Sectors,0),6),IF(G43&gt;=INDEX(GP_EG_T,MATCH($B43,GP_EG_Sectors,0),7),INDEX(GP_EG_T,MATCH($B43,GP_EG_Sectors,0),8),IF(G43&gt;=INDEX(GP_EG_T,MATCH($B43,GP_EG_Sectors,0),9),INDEX(GP_EG_T,MATCH($B43,GP_EG_Sectors,0),10),IF(G43&gt;=INDEX(GP_EG_T,MATCH($B43,GP_EG_Sectors,0),11),INDEX(GP_EG_T,MATCH($B43,GP_EG_Sectors,0),12),0))))))))</f>
        <v>100</v>
      </c>
      <c r="Z43">
        <f t="shared" ref="Z43:Z44" si="80">IF(OR($B43="",H43=""),"",IF(ISERROR(MATCH($B43,GP_OL_Sectors,0)),0,IF(H43&gt;=INDEX(GP_OL_T,MATCH($B43,GP_OL_Sectors,0),1),INDEX(GP_OL_T,MATCH($B43,GP_OL_Sectors,0),2),IF(H43&gt;=INDEX(GP_OL_T,MATCH($B43,GP_OL_Sectors,0),3),INDEX(GP_OL_T,MATCH($B43,GP_OL_Sectors,0),4),IF(H43&gt;=INDEX(GP_OL_T,MATCH($B43,GP_OL_Sectors,0),5),INDEX(GP_OL_T,MATCH($B43,GP_OL_Sectors,0),6),IF(H43&gt;=INDEX(GP_OL_T,MATCH($B43,GP_OL_Sectors,0),7),INDEX(GP_OL_T,MATCH($B43,GP_OL_Sectors,0),8),IF(H43&gt;=INDEX(GP_OL_T,MATCH($B43,GP_OL_Sectors,0),9),INDEX(GP_OL_T,MATCH($B43,GP_OL_Sectors,0),10),IF(H43&gt;=INDEX(GP_OL_T,MATCH($B43,GP_OL_Sectors,0),11),INDEX(GP_OL_T,MATCH($B43,GP_OL_Sectors,0),12),0))))))))</f>
        <v>100</v>
      </c>
      <c r="AA43">
        <f t="shared" ref="AA43:AA44" si="81">IF(OR($B43="",I43=""),"",IF(ISERROR(MATCH($B43,GP_ND_Sectors,0)),0,IF(I43&lt;=INDEX(GP_ND_T,MATCH($B43,GP_ND_Sectors,0),1),INDEX(GP_ND_T,MATCH($B43,GP_ND_Sectors,0),2),IF(I43&lt;=INDEX(GP_ND_T,MATCH($B43,GP_ND_Sectors,0),3),INDEX(GP_ND_T,MATCH($B43,GP_ND_Sectors,0),4),IF(I43&lt;=INDEX(GP_ND_T,MATCH($B43,GP_ND_Sectors,0),5),INDEX(GP_ND_T,MATCH($B43,GP_ND_Sectors,0),6),IF(I43&lt;=INDEX(GP_ND_T,MATCH($B43,GP_ND_Sectors,0),7),INDEX(GP_ND_T,MATCH($B43,GP_ND_Sectors,0),8),IF(I43&lt;=INDEX(GP_ND_T,MATCH($B43,GP_ND_Sectors,0),9),INDEX(GP_ND_T,MATCH($B43,GP_ND_Sectors,0),10),IF(I43&lt;=INDEX(GP_ND_T,MATCH($B43,GP_ND_Sectors,0),11),INDEX(GP_ND_T,MATCH($B43,GP_ND_Sectors,0),12),0))))))))</f>
        <v>55</v>
      </c>
      <c r="AB43">
        <f t="shared" ref="AB43:AB44" si="82">IF(OR($B43="",J43=""),"",IF(ISERROR(MATCH($B43,GP_CR_Sectors,0)),0,IF(J43&gt;=INDEX(GP_CR_T,MATCH($B43,GP_CR_Sectors,0),1),INDEX(GP_CR_T,MATCH($B43,GP_CR_Sectors,0),2),IF(J43&gt;=INDEX(GP_CR_T,MATCH($B43,GP_CR_Sectors,0),3),INDEX(GP_CR_T,MATCH($B43,GP_CR_Sectors,0),4),IF(J43&gt;=INDEX(GP_CR_T,MATCH($B43,GP_CR_Sectors,0),5),INDEX(GP_CR_T,MATCH($B43,GP_CR_Sectors,0),6),IF(J43&gt;=INDEX(GP_CR_T,MATCH($B43,GP_CR_Sectors,0),7),INDEX(GP_CR_T,MATCH($B43,GP_CR_Sectors,0),8),IF(J43&gt;=INDEX(GP_CR_T,MATCH($B43,GP_CR_Sectors,0),9),INDEX(GP_CR_T,MATCH($B43,GP_CR_Sectors,0),10),IF(J43&gt;=INDEX(GP_CR_T,MATCH($B43,GP_CR_Sectors,0),11),INDEX(GP_CR_T,MATCH($B43,GP_CR_Sectors,0),12),0))))))))</f>
        <v>100</v>
      </c>
      <c r="AC43">
        <f t="shared" ref="AC43:AC44" si="83">IF(OR($B43="",K43=""),"",IF(ISERROR(MATCH($B43,GP_IC_Sectors,0)),0,IF(K43&gt;=INDEX(GP_IC_T,MATCH($B43,GP_IC_Sectors,0),1),INDEX(GP_IC_T,MATCH($B43,GP_IC_Sectors,0),2),IF(K43&gt;=INDEX(GP_IC_T,MATCH($B43,GP_IC_Sectors,0),3),INDEX(GP_IC_T,MATCH($B43,GP_IC_Sectors,0),4),IF(K43&gt;=INDEX(GP_IC_T,MATCH($B43,GP_IC_Sectors,0),5),INDEX(GP_IC_T,MATCH($B43,GP_IC_Sectors,0),6),IF(K43&gt;=INDEX(GP_IC_T,MATCH($B43,GP_IC_Sectors,0),7),INDEX(GP_IC_T,MATCH($B43,GP_IC_Sectors,0),8),IF(K43&gt;=INDEX(GP_IC_T,MATCH($B43,GP_IC_Sectors,0),9),INDEX(GP_IC_T,MATCH($B43,GP_IC_Sectors,0),10),IF(K43&gt;=INDEX(GP_IC_T,MATCH($B43,GP_IC_Sectors,0),11),INDEX(GP_IC_T,MATCH($B43,GP_IC_Sectors,0),12),0))))))))</f>
        <v>70</v>
      </c>
      <c r="AD43">
        <f t="shared" ref="AD43:AD44" si="84">IF(OR($B43="",L43=""),"",IF(ISERROR(MATCH($B43,GP_FM_Sectors,0)),0,IF(L43&gt;=INDEX(GP_FM_T,MATCH($B43,GP_FM_Sectors,0),1),INDEX(GP_FM_T,MATCH($B43,GP_FM_Sectors,0),2),IF(L43&gt;=INDEX(GP_FM_T,MATCH($B43,GP_FM_Sectors,0),3),INDEX(GP_FM_T,MATCH($B43,GP_FM_Sectors,0),4),IF(L43&gt;=INDEX(GP_FM_T,MATCH($B43,GP_FM_Sectors,0),5),INDEX(GP_FM_T,MATCH($B43,GP_FM_Sectors,0),6),IF(L43&gt;=INDEX(GP_FM_T,MATCH($B43,GP_FM_Sectors,0),7),INDEX(GP_FM_T,MATCH($B43,GP_FM_Sectors,0),8),IF(L43&gt;=INDEX(GP_FM_T,MATCH($B43,GP_FM_Sectors,0),9),INDEX(GP_FM_T,MATCH($B43,GP_FM_Sectors,0),10),IF(L43&gt;=INDEX(GP_FM_T,MATCH($B43,GP_FM_Sectors,0),11),INDEX(GP_FM_T,MATCH($B43,GP_FM_Sectors,0),12),0))))))))</f>
        <v>0</v>
      </c>
      <c r="AE43">
        <f t="shared" ref="AE43:AE44" si="85">IF(OR($B43="",M43=""),"",IF(ISERROR(MATCH($B43,GP_FN_Sectors,0)),0,IF(M43&gt;=INDEX(GP_FN_T,MATCH($B43,GP_FN_Sectors,0),1),INDEX(GP_FN_T,MATCH($B43,GP_FN_Sectors,0),2),IF(M43&gt;=INDEX(GP_FN_T,MATCH($B43,GP_FN_Sectors,0),3),INDEX(GP_FN_T,MATCH($B43,GP_FN_Sectors,0),4),IF(M43&gt;=INDEX(GP_FN_T,MATCH($B43,GP_FN_Sectors,0),5),INDEX(GP_FN_T,MATCH($B43,GP_FN_Sectors,0),6),IF(M43&gt;=INDEX(GP_FN_T,MATCH($B43,GP_FN_Sectors,0),7),INDEX(GP_FN_T,MATCH($B43,GP_FN_Sectors,0),8),IF(M43&gt;=INDEX(GP_FN_T,MATCH($B43,GP_FN_Sectors,0),9),INDEX(GP_FN_T,MATCH($B43,GP_FN_Sectors,0),10),IF(M43&gt;=INDEX(GP_FN_T,MATCH($B43,GP_FN_Sectors,0),11),INDEX(GP_FN_T,MATCH($B43,GP_FN_Sectors,0),12),0))))))))</f>
        <v>0</v>
      </c>
      <c r="AF43">
        <f t="shared" ref="AF43:AF44" si="86">IF(OR($B43="",N43=""),"",IF(ISERROR(MATCH($B43,GP_CX_Sectors,0)),0,IF(N43&lt;=INDEX(GP_CX_T,MATCH($B43,GP_CX_Sectors,0),1),INDEX(GP_CX_T,MATCH($B43,GP_CX_Sectors,0),2),IF(N43&lt;=INDEX(GP_CX_T,MATCH($B43,GP_CX_Sectors,0),3),INDEX(GP_CX_T,MATCH($B43,GP_CX_Sectors,0),4),IF(N43&lt;=INDEX(GP_CX_T,MATCH($B43,GP_CX_Sectors,0),5),INDEX(GP_CX_T,MATCH($B43,GP_CX_Sectors,0),6),IF(N43&lt;=INDEX(GP_CX_T,MATCH($B43,GP_CX_Sectors,0),7),INDEX(GP_CX_T,MATCH($B43,GP_CX_Sectors,0),8),IF(N43&lt;=INDEX(GP_CX_T,MATCH($B43,GP_CX_Sectors,0),9),INDEX(GP_CX_T,MATCH($B43,GP_CX_Sectors,0),10),IF(N43&lt;=INDEX(GP_CX_T,MATCH($B43,GP_CX_Sectors,0),11),INDEX(GP_CX_T,MATCH($B43,GP_CX_Sectors,0),12),0))))))))</f>
        <v>0</v>
      </c>
      <c r="AG43">
        <f t="shared" ref="AG43:AG44" si="87">IF(OR($B43="",O43=""),"",IF(ISERROR(MATCH($B43,GP_PE_Sectors,0)),0,IF(O43&lt;=INDEX(GP_PE_T,MATCH($B43,GP_PE_Sectors,0),1),INDEX(GP_PE_T,MATCH($B43,GP_PE_Sectors,0),2),IF(O43&lt;=INDEX(GP_PE_T,MATCH($B43,GP_PE_Sectors,0),3),INDEX(GP_PE_T,MATCH($B43,GP_PE_Sectors,0),4),IF(O43&lt;=INDEX(GP_PE_T,MATCH($B43,GP_PE_Sectors,0),5),INDEX(GP_PE_T,MATCH($B43,GP_PE_Sectors,0),6),IF(O43&lt;=INDEX(GP_PE_T,MATCH($B43,GP_PE_Sectors,0),7),INDEX(GP_PE_T,MATCH($B43,GP_PE_Sectors,0),8),IF(O43&lt;=INDEX(GP_PE_T,MATCH($B43,GP_PE_Sectors,0),9),INDEX(GP_PE_T,MATCH($B43,GP_PE_Sectors,0),10),IF(O43&lt;=INDEX(GP_PE_T,MATCH($B43,GP_PE_Sectors,0),11),INDEX(GP_PE_T,MATCH($B43,GP_PE_Sectors,0),12),0))))))))</f>
        <v>12</v>
      </c>
      <c r="AH43">
        <f t="shared" ref="AH43:AH44" si="88">IF(OR($B43="",P43=""),"",IF(ISERROR(MATCH($B43,GP_EV_Sectors,0)),0,IF(P43&lt;=INDEX(GP_EV_T,MATCH($B43,GP_EV_Sectors,0),1),INDEX(GP_EV_T,MATCH($B43,GP_EV_Sectors,0),2),IF(P43&lt;=INDEX(GP_EV_T,MATCH($B43,GP_EV_Sectors,0),3),INDEX(GP_EV_T,MATCH($B43,GP_EV_Sectors,0),4),IF(P43&lt;=INDEX(GP_EV_T,MATCH($B43,GP_EV_Sectors,0),5),INDEX(GP_EV_T,MATCH($B43,GP_EV_Sectors,0),6),IF(P43&lt;=INDEX(GP_EV_T,MATCH($B43,GP_EV_Sectors,0),7),INDEX(GP_EV_T,MATCH($B43,GP_EV_Sectors,0),8),IF(P43&lt;=INDEX(GP_EV_T,MATCH($B43,GP_EV_Sectors,0),9),INDEX(GP_EV_T,MATCH($B43,GP_EV_Sectors,0),10),IF(P43&lt;=INDEX(GP_EV_T,MATCH($B43,GP_EV_Sectors,0),11),INDEX(GP_EV_T,MATCH($B43,GP_EV_Sectors,0),12),0))))))))</f>
        <v>0</v>
      </c>
      <c r="AI43">
        <f t="shared" ref="AI43:AI44" si="89">IF(OR($B43="",Q43=""),"",IF(ISERROR(MATCH($B43,GP_PF_Sectors,0)),0,IF(Q43&lt;=INDEX(GP_PF_T,MATCH($B43,GP_PF_Sectors,0),1),INDEX(GP_PF_T,MATCH($B43,GP_PF_Sectors,0),2),IF(Q43&lt;=INDEX(GP_PF_T,MATCH($B43,GP_PF_Sectors,0),3),INDEX(GP_PF_T,MATCH($B43,GP_PF_Sectors,0),4),IF(Q43&lt;=INDEX(GP_PF_T,MATCH($B43,GP_PF_Sectors,0),5),INDEX(GP_PF_T,MATCH($B43,GP_PF_Sectors,0),6),IF(Q43&lt;=INDEX(GP_PF_T,MATCH($B43,GP_PF_Sectors,0),7),INDEX(GP_PF_T,MATCH($B43,GP_PF_Sectors,0),8),IF(Q43&lt;=INDEX(GP_PF_T,MATCH($B43,GP_PF_Sectors,0),9),INDEX(GP_PF_T,MATCH($B43,GP_PF_Sectors,0),10),IF(Q43&lt;=INDEX(GP_PF_T,MATCH($B43,GP_PF_Sectors,0),11),INDEX(GP_PF_T,MATCH($B43,GP_PF_Sectors,0),12),0))))))))</f>
        <v>100</v>
      </c>
      <c r="AJ43">
        <f t="shared" ref="AJ43:AJ44" si="90">IF(OR($B43="",R43=""),"",IF(ISERROR(MATCH($B43,GP_DY_Sectors,0)),0,IF(R43&gt;=INDEX(GP_DY_T,MATCH($B43,GP_DY_Sectors,0),1),INDEX(GP_DY_T,MATCH($B43,GP_DY_Sectors,0),2),IF(R43&gt;=INDEX(GP_DY_T,MATCH($B43,GP_DY_Sectors,0),3),INDEX(GP_DY_T,MATCH($B43,GP_DY_Sectors,0),4),IF(R43&gt;=INDEX(GP_DY_T,MATCH($B43,GP_DY_Sectors,0),5),INDEX(GP_DY_T,MATCH($B43,GP_DY_Sectors,0),6),IF(R43&gt;=INDEX(GP_DY_T,MATCH($B43,GP_DY_Sectors,0),7),INDEX(GP_DY_T,MATCH($B43,GP_DY_Sectors,0),8),IF(R43&gt;=INDEX(GP_DY_T,MATCH($B43,GP_DY_Sectors,0),9),INDEX(GP_DY_T,MATCH($B43,GP_DY_Sectors,0),10),IF(R43&gt;=INDEX(GP_DY_T,MATCH($B43,GP_DY_Sectors,0),11),INDEX(GP_DY_T,MATCH($B43,GP_DY_Sectors,0),12),0))))))))</f>
        <v>5</v>
      </c>
      <c r="AK43">
        <f t="shared" ref="AK43:AK44" si="91">IF(OR($B43="",S43=""),"",IF(ISERROR(MATCH($B43,GP_PR_Sectors,0)),0,IF(S43&gt;=INDEX(GP_PR_T,MATCH($B43,GP_PR_Sectors,0),1),INDEX(GP_PR_T,MATCH($B43,GP_PR_Sectors,0),2),IF(S43&gt;=INDEX(GP_PR_T,MATCH($B43,GP_PR_Sectors,0),3),INDEX(GP_PR_T,MATCH($B43,GP_PR_Sectors,0),4),IF(S43&gt;=INDEX(GP_PR_T,MATCH($B43,GP_PR_Sectors,0),5),INDEX(GP_PR_T,MATCH($B43,GP_PR_Sectors,0),6),IF(S43&gt;=INDEX(GP_PR_T,MATCH($B43,GP_PR_Sectors,0),7),INDEX(GP_PR_T,MATCH($B43,GP_PR_Sectors,0),8),IF(S43&gt;=INDEX(GP_PR_T,MATCH($B43,GP_PR_Sectors,0),9),INDEX(GP_PR_T,MATCH($B43,GP_PR_Sectors,0),10),IF(S43&gt;=INDEX(GP_PR_T,MATCH($B43,GP_PR_Sectors,0),11),INDEX(GP_PR_T,MATCH($B43,GP_PR_Sectors,0),12),0))))))))</f>
        <v>0</v>
      </c>
      <c r="AL43">
        <f t="shared" ref="AL43:AL44" si="92">IF(OR($B43="",T43=""),"",IF(ISERROR(MATCH($B43,GP_BY_Sectors,0)),0,IF(T43&gt;=INDEX(GP_BY_T,MATCH($B43,GP_BY_Sectors,0),1),INDEX(GP_BY_T,MATCH($B43,GP_BY_Sectors,0),2),IF(T43&gt;=INDEX(GP_BY_T,MATCH($B43,GP_BY_Sectors,0),3),INDEX(GP_BY_T,MATCH($B43,GP_BY_Sectors,0),4),IF(T43&gt;=INDEX(GP_BY_T,MATCH($B43,GP_BY_Sectors,0),5),INDEX(GP_BY_T,MATCH($B43,GP_BY_Sectors,0),6),IF(T43&gt;=INDEX(GP_BY_T,MATCH($B43,GP_BY_Sectors,0),7),INDEX(GP_BY_T,MATCH($B43,GP_BY_Sectors,0),8),IF(T43&gt;=INDEX(GP_BY_T,MATCH($B43,GP_BY_Sectors,0),9),INDEX(GP_BY_T,MATCH($B43,GP_BY_Sectors,0),10),IF(T43&gt;=INDEX(GP_BY_T,MATCH($B43,GP_BY_Sectors,0),11),INDEX(GP_BY_T,MATCH($B43,GP_BY_Sectors,0),12),0))))))))</f>
        <v>10</v>
      </c>
      <c r="AM43">
        <f t="shared" ref="AM43:AM44" si="93">IF($B43="","",U43*0.35+V43*0.35+W43*0.3)</f>
        <v>46.8</v>
      </c>
      <c r="AN43">
        <f t="shared" ref="AN43:AN44" si="94">IF($B43="","",X43*0.4+Y43*0.35+Z43*0.25)</f>
        <v>100</v>
      </c>
      <c r="AO43">
        <f t="shared" ref="AO43:AO44" si="95">IF($B43="","",AA43*0.35+AB43*0.3+AC43*0.35)</f>
        <v>73.75</v>
      </c>
      <c r="AP43">
        <f t="shared" ref="AP43:AP44" si="96">IF($B43="","",AD43*0.4+AE43*0.35+AF43*0.25)</f>
        <v>0</v>
      </c>
      <c r="AQ43">
        <f t="shared" ref="AQ43:AQ44" si="97">IF($B43="","",AG43*0.35+AH43*0.35+AI43*0.3)</f>
        <v>34.200000000000003</v>
      </c>
      <c r="AR43">
        <f t="shared" si="41"/>
        <v>5.75</v>
      </c>
      <c r="AS43">
        <f t="shared" ref="AS43:AS44" si="98">IF($B43="","",MIN(100,MAX(0,ROUND(AM43*INDEX(GP_W_P1,MATCH($B43,GP_Weights_Sectors,0))+AN43*INDEX(GP_W_P2,MATCH($B43,GP_Weights_Sectors,0))+AO43*INDEX(GP_W_P3,MATCH($B43,GP_Weights_Sectors,0))+AP43*INDEX(GP_W_P4,MATCH($B43,GP_Weights_Sectors,0))+AQ43*INDEX(GP_W_P5,MATCH($B43,GP_Weights_Sectors,0))+AR43*INDEX(GP_W_P6,MATCH($B43,GP_Weights_Sectors,0)),0))))</f>
        <v>48</v>
      </c>
      <c r="AT43" s="12">
        <v>-1</v>
      </c>
      <c r="AU43" s="12">
        <v>0</v>
      </c>
      <c r="AV43" s="12">
        <v>-1</v>
      </c>
      <c r="AW43">
        <f t="shared" ref="AW43:AW44" si="99">MAX(-10,MIN(10,AT43+AU43+AV43))</f>
        <v>-2</v>
      </c>
      <c r="AX43" s="38" t="e" vm="40">
        <v>#VALUE!</v>
      </c>
      <c r="AY43" s="59" cm="1">
        <f t="array" aca="1" ref="AY43" ca="1">_FV(AX43,"PRECIO")</f>
        <v>37.450000000000003</v>
      </c>
      <c r="AZ43" s="60">
        <v>36</v>
      </c>
      <c r="BA43" s="55">
        <f>IFERROR(INDEX('DCF Simplified'!$Y$4:$Y$44,MATCH(A43,'DCF Simplified'!$A$4:$A$44,0)),"")</f>
        <v>12.998709765140601</v>
      </c>
      <c r="BB43" s="58">
        <f t="shared" ref="BB43:BB44" ca="1" si="100">IF(OR(AY43="",AZ43=""),"",(AZ43-AY43)/AY43)</f>
        <v>-3.8718291054739729E-2</v>
      </c>
      <c r="BD43">
        <v>0.04</v>
      </c>
      <c r="BE43">
        <v>51</v>
      </c>
      <c r="BF43">
        <v>0.06</v>
      </c>
      <c r="BG43">
        <f t="shared" ref="BG43:BG44" si="101">IF(BD43&gt;0.1,100,IF(BD43&gt;0.05,80,IF(BD43&gt;0,65,IF(BD43&gt;-0.05,45,IF(BD43&gt;-0.1,25,10)))))</f>
        <v>65</v>
      </c>
      <c r="BH43">
        <f t="shared" ref="BH43:BH44" si="102">IF(AND(BE43&gt;=40,BE43&lt;=60),70,IF(AND(BE43&gt;60,BE43&lt;=70),85,IF(BE43&gt;70,50,IF(AND(BE43&gt;=30,BE43&lt;40),55,40))))</f>
        <v>70</v>
      </c>
      <c r="BI43">
        <f t="shared" ref="BI43:BI44" si="103">IF(BF43&gt;0.2,100,IF(BF43&gt;0.1,80,IF(BF43&gt;0,65,IF(BF43&gt;-0.1,45,IF(BF43&gt;-0.2,25,10)))))</f>
        <v>65</v>
      </c>
      <c r="BJ43">
        <f t="shared" ref="BJ43:BJ44" si="104">ROUND(BG43*0.4+BH43*0.25+BI43*0.35,1)</f>
        <v>66.3</v>
      </c>
      <c r="BK43">
        <f t="shared" ref="BK43:BK44" si="105">IF(OR(AS43="",AQ43="",BJ43=""),"",ROUND(AS43*0.4+MAX(15,MIN(90,AQ43))*0.2+BJ43*0.25+MIN(100,MAX(0,AW43*10))*0.15,0))</f>
        <v>43</v>
      </c>
      <c r="BL43" t="str">
        <f t="shared" ref="BL43:BL44" si="106">IF(BK43="","",IF(BK43&gt;=85,"🟢 STRONG",IF(BK43&gt;=70,"🟡 FAVORABLE",IF(BK43&gt;=55,"⚪ NEUTRAL",IF(BK43&gt;=40,"🟠 WEAK","🔴 AVOID")))))</f>
        <v>🟠 WEAK</v>
      </c>
      <c r="BM43" s="50" t="str">
        <f t="shared" ref="BM43:BM44" si="107">IF(BK43="","",IF(AND(BK43&gt;=75,BJ43&gt;=70,AW43&gt;=6),"🚀 STRONG BUY",IF(AND(BK43&gt;=65,BJ43&gt;=55),"✅ BUY",IF(BK43&gt;=55,"⚠️ HOLD",IF(OR(BK43&lt;45,AND(BJ43&lt;35,AW43&lt;3)),"🔴 SELL","🟠 UNDERWEIGHT")))))</f>
        <v>🔴 SELL</v>
      </c>
    </row>
    <row r="44" spans="1:65" x14ac:dyDescent="0.4">
      <c r="A44" t="s">
        <v>291</v>
      </c>
      <c r="B44" t="s">
        <v>44</v>
      </c>
      <c r="C44" s="1">
        <v>8.2000000000000003E-2</v>
      </c>
      <c r="D44" s="1">
        <v>-0.16600000000000001</v>
      </c>
      <c r="E44" s="1">
        <v>-0.1</v>
      </c>
      <c r="F44" s="1">
        <v>-0.15</v>
      </c>
      <c r="G44" s="1">
        <v>0.1</v>
      </c>
      <c r="H44" s="33">
        <v>3</v>
      </c>
      <c r="I44" s="33">
        <v>5</v>
      </c>
      <c r="J44" s="33">
        <v>0.8</v>
      </c>
      <c r="K44" s="34">
        <v>1.5</v>
      </c>
      <c r="L44" s="18">
        <v>-0.5</v>
      </c>
      <c r="M44" s="33">
        <v>-1.1000000000000001</v>
      </c>
      <c r="N44" s="18">
        <v>1</v>
      </c>
      <c r="O44" s="33">
        <v>144</v>
      </c>
      <c r="P44" s="33">
        <v>-17</v>
      </c>
      <c r="Q44" s="33">
        <v>-10</v>
      </c>
      <c r="R44" s="18">
        <v>0</v>
      </c>
      <c r="S44" s="18">
        <v>0</v>
      </c>
      <c r="T44" s="18">
        <v>0</v>
      </c>
      <c r="U44">
        <f t="shared" si="75"/>
        <v>35</v>
      </c>
      <c r="V44">
        <f t="shared" si="76"/>
        <v>0</v>
      </c>
      <c r="W44">
        <f t="shared" si="77"/>
        <v>0</v>
      </c>
      <c r="X44">
        <f t="shared" si="78"/>
        <v>0</v>
      </c>
      <c r="Y44">
        <f t="shared" si="79"/>
        <v>55</v>
      </c>
      <c r="Z44">
        <f t="shared" si="80"/>
        <v>100</v>
      </c>
      <c r="AA44">
        <f t="shared" si="81"/>
        <v>0</v>
      </c>
      <c r="AB44">
        <f t="shared" si="82"/>
        <v>18</v>
      </c>
      <c r="AC44">
        <f t="shared" si="83"/>
        <v>15</v>
      </c>
      <c r="AD44">
        <f t="shared" si="84"/>
        <v>0</v>
      </c>
      <c r="AE44">
        <f t="shared" si="85"/>
        <v>0</v>
      </c>
      <c r="AF44">
        <f t="shared" si="86"/>
        <v>0</v>
      </c>
      <c r="AG44">
        <f t="shared" si="87"/>
        <v>0</v>
      </c>
      <c r="AH44">
        <f t="shared" si="88"/>
        <v>100</v>
      </c>
      <c r="AI44">
        <f t="shared" si="89"/>
        <v>100</v>
      </c>
      <c r="AJ44">
        <f t="shared" si="90"/>
        <v>5</v>
      </c>
      <c r="AK44">
        <f t="shared" si="91"/>
        <v>0</v>
      </c>
      <c r="AL44">
        <f t="shared" si="92"/>
        <v>10</v>
      </c>
      <c r="AM44">
        <f t="shared" si="93"/>
        <v>12.25</v>
      </c>
      <c r="AN44">
        <f t="shared" si="94"/>
        <v>44.25</v>
      </c>
      <c r="AO44">
        <f t="shared" si="95"/>
        <v>10.649999999999999</v>
      </c>
      <c r="AP44">
        <f t="shared" si="96"/>
        <v>0</v>
      </c>
      <c r="AQ44">
        <f t="shared" si="97"/>
        <v>65</v>
      </c>
      <c r="AR44">
        <f t="shared" si="41"/>
        <v>5.75</v>
      </c>
      <c r="AS44">
        <f t="shared" si="98"/>
        <v>24</v>
      </c>
      <c r="AT44" s="12">
        <v>-1</v>
      </c>
      <c r="AU44" s="12">
        <v>-1</v>
      </c>
      <c r="AV44" s="12">
        <v>-1</v>
      </c>
      <c r="AW44">
        <f t="shared" si="99"/>
        <v>-3</v>
      </c>
      <c r="AX44" s="38" t="e" vm="41">
        <v>#VALUE!</v>
      </c>
      <c r="AY44" s="59" cm="1">
        <f t="array" aca="1" ref="AY44" ca="1">_FV(AX44,"PRECIO")</f>
        <v>15.79</v>
      </c>
      <c r="AZ44" s="60">
        <v>14</v>
      </c>
      <c r="BA44" s="55">
        <f>IFERROR(INDEX('DCF Simplified'!$Y$4:$Y$44,MATCH(A44,'DCF Simplified'!$A$4:$A$44,0)),"")</f>
        <v>-0.42788758544112321</v>
      </c>
      <c r="BB44" s="58">
        <f t="shared" ca="1" si="100"/>
        <v>-0.1133628879037365</v>
      </c>
      <c r="BD44">
        <v>0.04</v>
      </c>
      <c r="BE44">
        <v>51</v>
      </c>
      <c r="BF44">
        <v>0.06</v>
      </c>
      <c r="BG44">
        <f t="shared" si="101"/>
        <v>65</v>
      </c>
      <c r="BH44">
        <f t="shared" si="102"/>
        <v>70</v>
      </c>
      <c r="BI44">
        <f t="shared" si="103"/>
        <v>65</v>
      </c>
      <c r="BJ44">
        <f t="shared" si="104"/>
        <v>66.3</v>
      </c>
      <c r="BK44">
        <f t="shared" si="105"/>
        <v>39</v>
      </c>
      <c r="BL44" t="str">
        <f t="shared" si="106"/>
        <v>🔴 AVOID</v>
      </c>
      <c r="BM44" s="50" t="str">
        <f t="shared" si="107"/>
        <v>🔴 SELL</v>
      </c>
    </row>
    <row r="45" spans="1:65" x14ac:dyDescent="0.4">
      <c r="A45" t="s">
        <v>294</v>
      </c>
      <c r="B45" t="s">
        <v>0</v>
      </c>
      <c r="C45" s="1">
        <v>0.22</v>
      </c>
      <c r="D45" s="1">
        <v>2.5000000000000001E-2</v>
      </c>
      <c r="E45" s="1">
        <v>0.22</v>
      </c>
      <c r="F45" s="1">
        <v>0.4</v>
      </c>
      <c r="G45" s="1">
        <v>0.5</v>
      </c>
      <c r="H45" s="33">
        <v>2.5</v>
      </c>
      <c r="I45" s="33">
        <v>0</v>
      </c>
      <c r="J45" s="33">
        <v>4</v>
      </c>
      <c r="K45" s="34">
        <v>15</v>
      </c>
      <c r="L45" s="18">
        <v>0.15</v>
      </c>
      <c r="M45" s="33">
        <v>0.75</v>
      </c>
      <c r="N45" s="18">
        <v>0.06</v>
      </c>
      <c r="O45" s="33">
        <v>80</v>
      </c>
      <c r="P45" s="33">
        <v>40</v>
      </c>
      <c r="Q45" s="33">
        <v>60</v>
      </c>
      <c r="R45" s="18">
        <v>0</v>
      </c>
      <c r="S45" s="18">
        <v>0</v>
      </c>
      <c r="T45" s="18">
        <v>0</v>
      </c>
      <c r="U45">
        <f t="shared" ref="U45:U64" si="108">IF(OR($B45="",C45=""),"",IF(ISERROR(MATCH($B45,GP_ROE_Sectors,0)),0,IF(C45&gt;=INDEX(GP_ROE_T,MATCH($B45,GP_ROE_Sectors,0),1),INDEX(GP_ROE_T,MATCH($B45,GP_ROE_Sectors,0),2),IF(C45&gt;=INDEX(GP_ROE_T,MATCH($B45,GP_ROE_Sectors,0),3),INDEX(GP_ROE_T,MATCH($B45,GP_ROE_Sectors,0),4),IF(C45&gt;=INDEX(GP_ROE_T,MATCH($B45,GP_ROE_Sectors,0),5),INDEX(GP_ROE_T,MATCH($B45,GP_ROE_Sectors,0),6),IF(C45&gt;=INDEX(GP_ROE_T,MATCH($B45,GP_ROE_Sectors,0),7),INDEX(GP_ROE_T,MATCH($B45,GP_ROE_Sectors,0),8),IF(C45&gt;=INDEX(GP_ROE_T,MATCH($B45,GP_ROE_Sectors,0),9),INDEX(GP_ROE_T,MATCH($B45,GP_ROE_Sectors,0),10),IF(C45&gt;=INDEX(GP_ROE_T,MATCH($B45,GP_ROE_Sectors,0),11),INDEX(GP_ROE_T,MATCH($B45,GP_ROE_Sectors,0),12),0))))))))</f>
        <v>100</v>
      </c>
      <c r="V45">
        <f t="shared" ref="V45:V64" si="109">IF(OR($B45="",D45=""),"",IF(ISERROR(MATCH($B45,GP_ROIC_Sectors,0)),0,IF(D45&gt;=INDEX(GP_ROIC_T,MATCH($B45,GP_ROIC_Sectors,0),1),INDEX(GP_ROIC_T,MATCH($B45,GP_ROIC_Sectors,0),2),IF(D45&gt;=INDEX(GP_ROIC_T,MATCH($B45,GP_ROIC_Sectors,0),3),INDEX(GP_ROIC_T,MATCH($B45,GP_ROIC_Sectors,0),4),IF(D45&gt;=INDEX(GP_ROIC_T,MATCH($B45,GP_ROIC_Sectors,0),5),INDEX(GP_ROIC_T,MATCH($B45,GP_ROIC_Sectors,0),6),IF(D45&gt;=INDEX(GP_ROIC_T,MATCH($B45,GP_ROIC_Sectors,0),7),INDEX(GP_ROIC_T,MATCH($B45,GP_ROIC_Sectors,0),8),IF(D45&gt;=INDEX(GP_ROIC_T,MATCH($B45,GP_ROIC_Sectors,0),9),INDEX(GP_ROIC_T,MATCH($B45,GP_ROIC_Sectors,0),10),IF(D45&gt;=INDEX(GP_ROIC_T,MATCH($B45,GP_ROIC_Sectors,0),11),INDEX(GP_ROIC_T,MATCH($B45,GP_ROIC_Sectors,0),12),0))))))))</f>
        <v>15</v>
      </c>
      <c r="W45">
        <f t="shared" ref="W45:W64" si="110">IF(OR($B45="",E45=""),"",IF(ISERROR(MATCH($B45,GP_NM_Sectors,0)),0,IF(E45&gt;=INDEX(GP_NM_T,MATCH($B45,GP_NM_Sectors,0),1),INDEX(GP_NM_T,MATCH($B45,GP_NM_Sectors,0),2),IF(E45&gt;=INDEX(GP_NM_T,MATCH($B45,GP_NM_Sectors,0),3),INDEX(GP_NM_T,MATCH($B45,GP_NM_Sectors,0),4),IF(E45&gt;=INDEX(GP_NM_T,MATCH($B45,GP_NM_Sectors,0),5),INDEX(GP_NM_T,MATCH($B45,GP_NM_Sectors,0),6),IF(E45&gt;=INDEX(GP_NM_T,MATCH($B45,GP_NM_Sectors,0),7),INDEX(GP_NM_T,MATCH($B45,GP_NM_Sectors,0),8),IF(E45&gt;=INDEX(GP_NM_T,MATCH($B45,GP_NM_Sectors,0),9),INDEX(GP_NM_T,MATCH($B45,GP_NM_Sectors,0),10),IF(E45&gt;=INDEX(GP_NM_T,MATCH($B45,GP_NM_Sectors,0),11),INDEX(GP_NM_T,MATCH($B45,GP_NM_Sectors,0),12),0))))))))</f>
        <v>100</v>
      </c>
      <c r="X45">
        <f t="shared" ref="X45:X64" si="111">IF(OR($B45="",F45=""),"",IF(ISERROR(MATCH($B45,GP_RG_Sectors,0)),0,IF(F45&gt;=INDEX(GP_RG_T,MATCH($B45,GP_RG_Sectors,0),1),INDEX(GP_RG_T,MATCH($B45,GP_RG_Sectors,0),2),IF(F45&gt;=INDEX(GP_RG_T,MATCH($B45,GP_RG_Sectors,0),3),INDEX(GP_RG_T,MATCH($B45,GP_RG_Sectors,0),4),IF(F45&gt;=INDEX(GP_RG_T,MATCH($B45,GP_RG_Sectors,0),5),INDEX(GP_RG_T,MATCH($B45,GP_RG_Sectors,0),6),IF(F45&gt;=INDEX(GP_RG_T,MATCH($B45,GP_RG_Sectors,0),7),INDEX(GP_RG_T,MATCH($B45,GP_RG_Sectors,0),8),IF(F45&gt;=INDEX(GP_RG_T,MATCH($B45,GP_RG_Sectors,0),9),INDEX(GP_RG_T,MATCH($B45,GP_RG_Sectors,0),10),IF(F45&gt;=INDEX(GP_RG_T,MATCH($B45,GP_RG_Sectors,0),11),INDEX(GP_RG_T,MATCH($B45,GP_RG_Sectors,0),12),0))))))))</f>
        <v>100</v>
      </c>
      <c r="Y45">
        <f t="shared" ref="Y45:Y64" si="112">IF(OR($B45="",G45=""),"",IF(ISERROR(MATCH($B45,GP_EG_Sectors,0)),0,IF(G45&gt;=INDEX(GP_EG_T,MATCH($B45,GP_EG_Sectors,0),1),INDEX(GP_EG_T,MATCH($B45,GP_EG_Sectors,0),2),IF(G45&gt;=INDEX(GP_EG_T,MATCH($B45,GP_EG_Sectors,0),3),INDEX(GP_EG_T,MATCH($B45,GP_EG_Sectors,0),4),IF(G45&gt;=INDEX(GP_EG_T,MATCH($B45,GP_EG_Sectors,0),5),INDEX(GP_EG_T,MATCH($B45,GP_EG_Sectors,0),6),IF(G45&gt;=INDEX(GP_EG_T,MATCH($B45,GP_EG_Sectors,0),7),INDEX(GP_EG_T,MATCH($B45,GP_EG_Sectors,0),8),IF(G45&gt;=INDEX(GP_EG_T,MATCH($B45,GP_EG_Sectors,0),9),INDEX(GP_EG_T,MATCH($B45,GP_EG_Sectors,0),10),IF(G45&gt;=INDEX(GP_EG_T,MATCH($B45,GP_EG_Sectors,0),11),INDEX(GP_EG_T,MATCH($B45,GP_EG_Sectors,0),12),0))))))))</f>
        <v>100</v>
      </c>
      <c r="Z45">
        <f t="shared" ref="Z45:Z64" si="113">IF(OR($B45="",H45=""),"",IF(ISERROR(MATCH($B45,GP_OL_Sectors,0)),0,IF(H45&gt;=INDEX(GP_OL_T,MATCH($B45,GP_OL_Sectors,0),1),INDEX(GP_OL_T,MATCH($B45,GP_OL_Sectors,0),2),IF(H45&gt;=INDEX(GP_OL_T,MATCH($B45,GP_OL_Sectors,0),3),INDEX(GP_OL_T,MATCH($B45,GP_OL_Sectors,0),4),IF(H45&gt;=INDEX(GP_OL_T,MATCH($B45,GP_OL_Sectors,0),5),INDEX(GP_OL_T,MATCH($B45,GP_OL_Sectors,0),6),IF(H45&gt;=INDEX(GP_OL_T,MATCH($B45,GP_OL_Sectors,0),7),INDEX(GP_OL_T,MATCH($B45,GP_OL_Sectors,0),8),IF(H45&gt;=INDEX(GP_OL_T,MATCH($B45,GP_OL_Sectors,0),9),INDEX(GP_OL_T,MATCH($B45,GP_OL_Sectors,0),10),IF(H45&gt;=INDEX(GP_OL_T,MATCH($B45,GP_OL_Sectors,0),11),INDEX(GP_OL_T,MATCH($B45,GP_OL_Sectors,0),12),0))))))))</f>
        <v>100</v>
      </c>
      <c r="AA45">
        <f t="shared" ref="AA45:AA64" si="114">IF(OR($B45="",I45=""),"",IF(ISERROR(MATCH($B45,GP_ND_Sectors,0)),0,IF(I45&lt;=INDEX(GP_ND_T,MATCH($B45,GP_ND_Sectors,0),1),INDEX(GP_ND_T,MATCH($B45,GP_ND_Sectors,0),2),IF(I45&lt;=INDEX(GP_ND_T,MATCH($B45,GP_ND_Sectors,0),3),INDEX(GP_ND_T,MATCH($B45,GP_ND_Sectors,0),4),IF(I45&lt;=INDEX(GP_ND_T,MATCH($B45,GP_ND_Sectors,0),5),INDEX(GP_ND_T,MATCH($B45,GP_ND_Sectors,0),6),IF(I45&lt;=INDEX(GP_ND_T,MATCH($B45,GP_ND_Sectors,0),7),INDEX(GP_ND_T,MATCH($B45,GP_ND_Sectors,0),8),IF(I45&lt;=INDEX(GP_ND_T,MATCH($B45,GP_ND_Sectors,0),9),INDEX(GP_ND_T,MATCH($B45,GP_ND_Sectors,0),10),IF(I45&lt;=INDEX(GP_ND_T,MATCH($B45,GP_ND_Sectors,0),11),INDEX(GP_ND_T,MATCH($B45,GP_ND_Sectors,0),12),0))))))))</f>
        <v>100</v>
      </c>
      <c r="AB45">
        <f t="shared" ref="AB45:AB64" si="115">IF(OR($B45="",J45=""),"",IF(ISERROR(MATCH($B45,GP_CR_Sectors,0)),0,IF(J45&gt;=INDEX(GP_CR_T,MATCH($B45,GP_CR_Sectors,0),1),INDEX(GP_CR_T,MATCH($B45,GP_CR_Sectors,0),2),IF(J45&gt;=INDEX(GP_CR_T,MATCH($B45,GP_CR_Sectors,0),3),INDEX(GP_CR_T,MATCH($B45,GP_CR_Sectors,0),4),IF(J45&gt;=INDEX(GP_CR_T,MATCH($B45,GP_CR_Sectors,0),5),INDEX(GP_CR_T,MATCH($B45,GP_CR_Sectors,0),6),IF(J45&gt;=INDEX(GP_CR_T,MATCH($B45,GP_CR_Sectors,0),7),INDEX(GP_CR_T,MATCH($B45,GP_CR_Sectors,0),8),IF(J45&gt;=INDEX(GP_CR_T,MATCH($B45,GP_CR_Sectors,0),9),INDEX(GP_CR_T,MATCH($B45,GP_CR_Sectors,0),10),IF(J45&gt;=INDEX(GP_CR_T,MATCH($B45,GP_CR_Sectors,0),11),INDEX(GP_CR_T,MATCH($B45,GP_CR_Sectors,0),12),0))))))))</f>
        <v>100</v>
      </c>
      <c r="AC45">
        <f t="shared" ref="AC45:AC64" si="116">IF(OR($B45="",K45=""),"",IF(ISERROR(MATCH($B45,GP_IC_Sectors,0)),0,IF(K45&gt;=INDEX(GP_IC_T,MATCH($B45,GP_IC_Sectors,0),1),INDEX(GP_IC_T,MATCH($B45,GP_IC_Sectors,0),2),IF(K45&gt;=INDEX(GP_IC_T,MATCH($B45,GP_IC_Sectors,0),3),INDEX(GP_IC_T,MATCH($B45,GP_IC_Sectors,0),4),IF(K45&gt;=INDEX(GP_IC_T,MATCH($B45,GP_IC_Sectors,0),5),INDEX(GP_IC_T,MATCH($B45,GP_IC_Sectors,0),6),IF(K45&gt;=INDEX(GP_IC_T,MATCH($B45,GP_IC_Sectors,0),7),INDEX(GP_IC_T,MATCH($B45,GP_IC_Sectors,0),8),IF(K45&gt;=INDEX(GP_IC_T,MATCH($B45,GP_IC_Sectors,0),9),INDEX(GP_IC_T,MATCH($B45,GP_IC_Sectors,0),10),IF(K45&gt;=INDEX(GP_IC_T,MATCH($B45,GP_IC_Sectors,0),11),INDEX(GP_IC_T,MATCH($B45,GP_IC_Sectors,0),12),0))))))))</f>
        <v>100</v>
      </c>
      <c r="AD45">
        <f t="shared" ref="AD45:AD64" si="117">IF(OR($B45="",L45=""),"",IF(ISERROR(MATCH($B45,GP_FM_Sectors,0)),0,IF(L45&gt;=INDEX(GP_FM_T,MATCH($B45,GP_FM_Sectors,0),1),INDEX(GP_FM_T,MATCH($B45,GP_FM_Sectors,0),2),IF(L45&gt;=INDEX(GP_FM_T,MATCH($B45,GP_FM_Sectors,0),3),INDEX(GP_FM_T,MATCH($B45,GP_FM_Sectors,0),4),IF(L45&gt;=INDEX(GP_FM_T,MATCH($B45,GP_FM_Sectors,0),5),INDEX(GP_FM_T,MATCH($B45,GP_FM_Sectors,0),6),IF(L45&gt;=INDEX(GP_FM_T,MATCH($B45,GP_FM_Sectors,0),7),INDEX(GP_FM_T,MATCH($B45,GP_FM_Sectors,0),8),IF(L45&gt;=INDEX(GP_FM_T,MATCH($B45,GP_FM_Sectors,0),9),INDEX(GP_FM_T,MATCH($B45,GP_FM_Sectors,0),10),IF(L45&gt;=INDEX(GP_FM_T,MATCH($B45,GP_FM_Sectors,0),11),INDEX(GP_FM_T,MATCH($B45,GP_FM_Sectors,0),12),0))))))))</f>
        <v>100</v>
      </c>
      <c r="AE45">
        <f t="shared" ref="AE45:AE64" si="118">IF(OR($B45="",M45=""),"",IF(ISERROR(MATCH($B45,GP_FN_Sectors,0)),0,IF(M45&gt;=INDEX(GP_FN_T,MATCH($B45,GP_FN_Sectors,0),1),INDEX(GP_FN_T,MATCH($B45,GP_FN_Sectors,0),2),IF(M45&gt;=INDEX(GP_FN_T,MATCH($B45,GP_FN_Sectors,0),3),INDEX(GP_FN_T,MATCH($B45,GP_FN_Sectors,0),4),IF(M45&gt;=INDEX(GP_FN_T,MATCH($B45,GP_FN_Sectors,0),5),INDEX(GP_FN_T,MATCH($B45,GP_FN_Sectors,0),6),IF(M45&gt;=INDEX(GP_FN_T,MATCH($B45,GP_FN_Sectors,0),7),INDEX(GP_FN_T,MATCH($B45,GP_FN_Sectors,0),8),IF(M45&gt;=INDEX(GP_FN_T,MATCH($B45,GP_FN_Sectors,0),9),INDEX(GP_FN_T,MATCH($B45,GP_FN_Sectors,0),10),IF(M45&gt;=INDEX(GP_FN_T,MATCH($B45,GP_FN_Sectors,0),11),INDEX(GP_FN_T,MATCH($B45,GP_FN_Sectors,0),12),0))))))))</f>
        <v>68</v>
      </c>
      <c r="AF45">
        <f t="shared" ref="AF45:AF64" si="119">IF(OR($B45="",N45=""),"",IF(ISERROR(MATCH($B45,GP_CX_Sectors,0)),0,IF(N45&lt;=INDEX(GP_CX_T,MATCH($B45,GP_CX_Sectors,0),1),INDEX(GP_CX_T,MATCH($B45,GP_CX_Sectors,0),2),IF(N45&lt;=INDEX(GP_CX_T,MATCH($B45,GP_CX_Sectors,0),3),INDEX(GP_CX_T,MATCH($B45,GP_CX_Sectors,0),4),IF(N45&lt;=INDEX(GP_CX_T,MATCH($B45,GP_CX_Sectors,0),5),INDEX(GP_CX_T,MATCH($B45,GP_CX_Sectors,0),6),IF(N45&lt;=INDEX(GP_CX_T,MATCH($B45,GP_CX_Sectors,0),7),INDEX(GP_CX_T,MATCH($B45,GP_CX_Sectors,0),8),IF(N45&lt;=INDEX(GP_CX_T,MATCH($B45,GP_CX_Sectors,0),9),INDEX(GP_CX_T,MATCH($B45,GP_CX_Sectors,0),10),IF(N45&lt;=INDEX(GP_CX_T,MATCH($B45,GP_CX_Sectors,0),11),INDEX(GP_CX_T,MATCH($B45,GP_CX_Sectors,0),12),0))))))))</f>
        <v>82</v>
      </c>
      <c r="AG45">
        <f t="shared" ref="AG45:AG64" si="120">IF(OR($B45="",O45=""),"",IF(ISERROR(MATCH($B45,GP_PE_Sectors,0)),0,IF(O45&lt;=INDEX(GP_PE_T,MATCH($B45,GP_PE_Sectors,0),1),INDEX(GP_PE_T,MATCH($B45,GP_PE_Sectors,0),2),IF(O45&lt;=INDEX(GP_PE_T,MATCH($B45,GP_PE_Sectors,0),3),INDEX(GP_PE_T,MATCH($B45,GP_PE_Sectors,0),4),IF(O45&lt;=INDEX(GP_PE_T,MATCH($B45,GP_PE_Sectors,0),5),INDEX(GP_PE_T,MATCH($B45,GP_PE_Sectors,0),6),IF(O45&lt;=INDEX(GP_PE_T,MATCH($B45,GP_PE_Sectors,0),7),INDEX(GP_PE_T,MATCH($B45,GP_PE_Sectors,0),8),IF(O45&lt;=INDEX(GP_PE_T,MATCH($B45,GP_PE_Sectors,0),9),INDEX(GP_PE_T,MATCH($B45,GP_PE_Sectors,0),10),IF(O45&lt;=INDEX(GP_PE_T,MATCH($B45,GP_PE_Sectors,0),11),INDEX(GP_PE_T,MATCH($B45,GP_PE_Sectors,0),12),0))))))))</f>
        <v>0</v>
      </c>
      <c r="AH45">
        <f t="shared" ref="AH45:AH64" si="121">IF(OR($B45="",P45=""),"",IF(ISERROR(MATCH($B45,GP_EV_Sectors,0)),0,IF(P45&lt;=INDEX(GP_EV_T,MATCH($B45,GP_EV_Sectors,0),1),INDEX(GP_EV_T,MATCH($B45,GP_EV_Sectors,0),2),IF(P45&lt;=INDEX(GP_EV_T,MATCH($B45,GP_EV_Sectors,0),3),INDEX(GP_EV_T,MATCH($B45,GP_EV_Sectors,0),4),IF(P45&lt;=INDEX(GP_EV_T,MATCH($B45,GP_EV_Sectors,0),5),INDEX(GP_EV_T,MATCH($B45,GP_EV_Sectors,0),6),IF(P45&lt;=INDEX(GP_EV_T,MATCH($B45,GP_EV_Sectors,0),7),INDEX(GP_EV_T,MATCH($B45,GP_EV_Sectors,0),8),IF(P45&lt;=INDEX(GP_EV_T,MATCH($B45,GP_EV_Sectors,0),9),INDEX(GP_EV_T,MATCH($B45,GP_EV_Sectors,0),10),IF(P45&lt;=INDEX(GP_EV_T,MATCH($B45,GP_EV_Sectors,0),11),INDEX(GP_EV_T,MATCH($B45,GP_EV_Sectors,0),12),0))))))))</f>
        <v>0</v>
      </c>
      <c r="AI45">
        <f t="shared" ref="AI45:AI64" si="122">IF(OR($B45="",Q45=""),"",IF(ISERROR(MATCH($B45,GP_PF_Sectors,0)),0,IF(Q45&lt;=INDEX(GP_PF_T,MATCH($B45,GP_PF_Sectors,0),1),INDEX(GP_PF_T,MATCH($B45,GP_PF_Sectors,0),2),IF(Q45&lt;=INDEX(GP_PF_T,MATCH($B45,GP_PF_Sectors,0),3),INDEX(GP_PF_T,MATCH($B45,GP_PF_Sectors,0),4),IF(Q45&lt;=INDEX(GP_PF_T,MATCH($B45,GP_PF_Sectors,0),5),INDEX(GP_PF_T,MATCH($B45,GP_PF_Sectors,0),6),IF(Q45&lt;=INDEX(GP_PF_T,MATCH($B45,GP_PF_Sectors,0),7),INDEX(GP_PF_T,MATCH($B45,GP_PF_Sectors,0),8),IF(Q45&lt;=INDEX(GP_PF_T,MATCH($B45,GP_PF_Sectors,0),9),INDEX(GP_PF_T,MATCH($B45,GP_PF_Sectors,0),10),IF(Q45&lt;=INDEX(GP_PF_T,MATCH($B45,GP_PF_Sectors,0),11),INDEX(GP_PF_T,MATCH($B45,GP_PF_Sectors,0),12),0))))))))</f>
        <v>8</v>
      </c>
      <c r="AJ45">
        <f t="shared" ref="AJ45:AJ64" si="123">IF(OR($B45="",R45=""),"",IF(ISERROR(MATCH($B45,GP_DY_Sectors,0)),0,IF(R45&gt;=INDEX(GP_DY_T,MATCH($B45,GP_DY_Sectors,0),1),INDEX(GP_DY_T,MATCH($B45,GP_DY_Sectors,0),2),IF(R45&gt;=INDEX(GP_DY_T,MATCH($B45,GP_DY_Sectors,0),3),INDEX(GP_DY_T,MATCH($B45,GP_DY_Sectors,0),4),IF(R45&gt;=INDEX(GP_DY_T,MATCH($B45,GP_DY_Sectors,0),5),INDEX(GP_DY_T,MATCH($B45,GP_DY_Sectors,0),6),IF(R45&gt;=INDEX(GP_DY_T,MATCH($B45,GP_DY_Sectors,0),7),INDEX(GP_DY_T,MATCH($B45,GP_DY_Sectors,0),8),IF(R45&gt;=INDEX(GP_DY_T,MATCH($B45,GP_DY_Sectors,0),9),INDEX(GP_DY_T,MATCH($B45,GP_DY_Sectors,0),10),IF(R45&gt;=INDEX(GP_DY_T,MATCH($B45,GP_DY_Sectors,0),11),INDEX(GP_DY_T,MATCH($B45,GP_DY_Sectors,0),12),0))))))))</f>
        <v>5</v>
      </c>
      <c r="AK45">
        <f t="shared" ref="AK45:AK64" si="124">IF(OR($B45="",S45=""),"",IF(ISERROR(MATCH($B45,GP_PR_Sectors,0)),0,IF(S45&gt;=INDEX(GP_PR_T,MATCH($B45,GP_PR_Sectors,0),1),INDEX(GP_PR_T,MATCH($B45,GP_PR_Sectors,0),2),IF(S45&gt;=INDEX(GP_PR_T,MATCH($B45,GP_PR_Sectors,0),3),INDEX(GP_PR_T,MATCH($B45,GP_PR_Sectors,0),4),IF(S45&gt;=INDEX(GP_PR_T,MATCH($B45,GP_PR_Sectors,0),5),INDEX(GP_PR_T,MATCH($B45,GP_PR_Sectors,0),6),IF(S45&gt;=INDEX(GP_PR_T,MATCH($B45,GP_PR_Sectors,0),7),INDEX(GP_PR_T,MATCH($B45,GP_PR_Sectors,0),8),IF(S45&gt;=INDEX(GP_PR_T,MATCH($B45,GP_PR_Sectors,0),9),INDEX(GP_PR_T,MATCH($B45,GP_PR_Sectors,0),10),IF(S45&gt;=INDEX(GP_PR_T,MATCH($B45,GP_PR_Sectors,0),11),INDEX(GP_PR_T,MATCH($B45,GP_PR_Sectors,0),12),0))))))))</f>
        <v>0</v>
      </c>
      <c r="AL45">
        <f t="shared" ref="AL45:AL64" si="125">IF(OR($B45="",T45=""),"",IF(ISERROR(MATCH($B45,GP_BY_Sectors,0)),0,IF(T45&gt;=INDEX(GP_BY_T,MATCH($B45,GP_BY_Sectors,0),1),INDEX(GP_BY_T,MATCH($B45,GP_BY_Sectors,0),2),IF(T45&gt;=INDEX(GP_BY_T,MATCH($B45,GP_BY_Sectors,0),3),INDEX(GP_BY_T,MATCH($B45,GP_BY_Sectors,0),4),IF(T45&gt;=INDEX(GP_BY_T,MATCH($B45,GP_BY_Sectors,0),5),INDEX(GP_BY_T,MATCH($B45,GP_BY_Sectors,0),6),IF(T45&gt;=INDEX(GP_BY_T,MATCH($B45,GP_BY_Sectors,0),7),INDEX(GP_BY_T,MATCH($B45,GP_BY_Sectors,0),8),IF(T45&gt;=INDEX(GP_BY_T,MATCH($B45,GP_BY_Sectors,0),9),INDEX(GP_BY_T,MATCH($B45,GP_BY_Sectors,0),10),IF(T45&gt;=INDEX(GP_BY_T,MATCH($B45,GP_BY_Sectors,0),11),INDEX(GP_BY_T,MATCH($B45,GP_BY_Sectors,0),12),0))))))))</f>
        <v>8</v>
      </c>
      <c r="AM45">
        <f t="shared" ref="AM45:AM64" si="126">IF($B45="","",U45*0.35+V45*0.35+W45*0.3)</f>
        <v>70.25</v>
      </c>
      <c r="AN45">
        <f t="shared" ref="AN45:AN64" si="127">IF($B45="","",X45*0.4+Y45*0.35+Z45*0.25)</f>
        <v>100</v>
      </c>
      <c r="AO45">
        <f t="shared" ref="AO45:AO64" si="128">IF($B45="","",AA45*0.35+AB45*0.3+AC45*0.35)</f>
        <v>100</v>
      </c>
      <c r="AP45">
        <f t="shared" ref="AP45:AP64" si="129">IF($B45="","",AD45*0.4+AE45*0.35+AF45*0.25)</f>
        <v>84.3</v>
      </c>
      <c r="AQ45">
        <f t="shared" ref="AQ45:AQ64" si="130">IF($B45="","",AG45*0.35+AH45*0.35+AI45*0.3)</f>
        <v>2.4</v>
      </c>
      <c r="AR45">
        <f t="shared" si="41"/>
        <v>5.05</v>
      </c>
      <c r="AS45">
        <f t="shared" ref="AS45:AS64" si="131">IF($B45="","",MIN(100,MAX(0,ROUND(AM45*INDEX(GP_W_P1,MATCH($B45,GP_Weights_Sectors,0))+AN45*INDEX(GP_W_P2,MATCH($B45,GP_Weights_Sectors,0))+AO45*INDEX(GP_W_P3,MATCH($B45,GP_Weights_Sectors,0))+AP45*INDEX(GP_W_P4,MATCH($B45,GP_Weights_Sectors,0))+AQ45*INDEX(GP_W_P5,MATCH($B45,GP_Weights_Sectors,0))+AR45*INDEX(GP_W_P6,MATCH($B45,GP_Weights_Sectors,0)),0))))</f>
        <v>68</v>
      </c>
      <c r="AT45" s="12">
        <v>1</v>
      </c>
      <c r="AU45" s="12">
        <v>1</v>
      </c>
      <c r="AV45" s="12">
        <v>1</v>
      </c>
      <c r="AW45">
        <f t="shared" ref="AW45:AW64" si="132">MAX(-10,MIN(10,AT45+AU45+AV45))</f>
        <v>3</v>
      </c>
      <c r="AX45" s="38" t="e" vm="42">
        <v>#VALUE!</v>
      </c>
      <c r="AY45" s="59" cm="1">
        <f t="array" aca="1" ref="AY45" ca="1">_FV(AX45,"PRECIO")</f>
        <v>8.23</v>
      </c>
      <c r="AZ45" s="60">
        <v>6</v>
      </c>
      <c r="BA45" s="55">
        <f>IFERROR(INDEX('DCF Simplified'!$Y$4:$Y$45,MATCH(A45,'DCF Simplified'!$A$4:$A$45,0)),"")</f>
        <v>2.4500000983370778</v>
      </c>
      <c r="BB45" s="58">
        <f t="shared" ref="BB45:BB66" ca="1" si="133">IF(OR(AY45="",AZ45=""),"",(AZ45-AY45)/AY45)</f>
        <v>-0.27095990279465376</v>
      </c>
      <c r="BD45">
        <v>0.04</v>
      </c>
      <c r="BE45">
        <v>51</v>
      </c>
      <c r="BF45">
        <v>0.06</v>
      </c>
      <c r="BG45">
        <f t="shared" ref="BG45:BG65" si="134">IF(BD45&gt;0.1,100,IF(BD45&gt;0.05,80,IF(BD45&gt;0,65,IF(BD45&gt;-0.05,45,IF(BD45&gt;-0.1,25,10)))))</f>
        <v>65</v>
      </c>
      <c r="BH45">
        <f t="shared" ref="BH45:BH65" si="135">IF(AND(BE45&gt;=40,BE45&lt;=60),70,IF(AND(BE45&gt;60,BE45&lt;=70),85,IF(BE45&gt;70,50,IF(AND(BE45&gt;=30,BE45&lt;40),55,40))))</f>
        <v>70</v>
      </c>
      <c r="BI45">
        <f t="shared" ref="BI45:BI65" si="136">IF(BF45&gt;0.2,100,IF(BF45&gt;0.1,80,IF(BF45&gt;0,65,IF(BF45&gt;-0.1,45,IF(BF45&gt;-0.2,25,10)))))</f>
        <v>65</v>
      </c>
      <c r="BJ45">
        <f t="shared" ref="BJ45:BJ65" si="137">ROUND(BG45*0.4+BH45*0.25+BI45*0.35,1)</f>
        <v>66.3</v>
      </c>
      <c r="BK45">
        <f t="shared" ref="BK45:BK65" si="138">IF(OR(AS45="",AQ45="",BJ45=""),"",ROUND(AS45*0.4+MAX(15,MIN(90,AQ45))*0.2+BJ45*0.25+MIN(100,MAX(0,AW45*10))*0.15,0))</f>
        <v>51</v>
      </c>
      <c r="BL45" t="str">
        <f t="shared" ref="BL45:BL65" si="139">IF(BK45="","",IF(BK45&gt;=85,"🟢 STRONG",IF(BK45&gt;=70,"🟡 FAVORABLE",IF(BK45&gt;=55,"⚪ NEUTRAL",IF(BK45&gt;=40,"🟠 WEAK","🔴 AVOID")))))</f>
        <v>🟠 WEAK</v>
      </c>
      <c r="BM45" s="50" t="str">
        <f t="shared" ref="BM45:BM65" si="140">IF(BK45="","",IF(AND(BK45&gt;=75,BJ45&gt;=70,AW45&gt;=6),"🚀 STRONG BUY",IF(AND(BK45&gt;=65,BJ45&gt;=55),"✅ BUY",IF(BK45&gt;=55,"⚠️ HOLD",IF(OR(BK45&lt;45,AND(BJ45&lt;35,AW45&lt;3)),"🔴 SELL","🟠 UNDERWEIGHT")))))</f>
        <v>🟠 UNDERWEIGHT</v>
      </c>
    </row>
    <row r="46" spans="1:65" x14ac:dyDescent="0.4">
      <c r="A46" t="s">
        <v>298</v>
      </c>
      <c r="B46" t="s">
        <v>46</v>
      </c>
      <c r="C46" s="1">
        <v>0.02</v>
      </c>
      <c r="D46" s="1">
        <v>0.04</v>
      </c>
      <c r="E46" s="1">
        <v>0.05</v>
      </c>
      <c r="F46" s="1">
        <v>0.15</v>
      </c>
      <c r="G46" s="1">
        <v>0.2</v>
      </c>
      <c r="H46" s="33">
        <v>1.2</v>
      </c>
      <c r="I46" s="33">
        <v>8</v>
      </c>
      <c r="J46" s="33">
        <v>0.9</v>
      </c>
      <c r="K46" s="34">
        <v>2</v>
      </c>
      <c r="L46" s="18">
        <v>0.04</v>
      </c>
      <c r="M46" s="33">
        <v>0.6</v>
      </c>
      <c r="N46" s="18">
        <v>0.08</v>
      </c>
      <c r="O46" s="33">
        <v>22</v>
      </c>
      <c r="P46" s="33">
        <v>18</v>
      </c>
      <c r="Q46" s="33">
        <v>25</v>
      </c>
      <c r="R46" s="18">
        <v>6.0000000000000001E-3</v>
      </c>
      <c r="S46" s="18">
        <v>0.15</v>
      </c>
      <c r="T46" s="18">
        <v>0.01</v>
      </c>
      <c r="U46">
        <f t="shared" si="108"/>
        <v>18</v>
      </c>
      <c r="V46">
        <f t="shared" si="109"/>
        <v>35</v>
      </c>
      <c r="W46">
        <f t="shared" si="110"/>
        <v>35</v>
      </c>
      <c r="X46">
        <f t="shared" si="111"/>
        <v>100</v>
      </c>
      <c r="Y46">
        <f t="shared" si="112"/>
        <v>100</v>
      </c>
      <c r="Z46">
        <f t="shared" si="113"/>
        <v>85</v>
      </c>
      <c r="AA46">
        <f t="shared" si="114"/>
        <v>12</v>
      </c>
      <c r="AB46">
        <f t="shared" si="115"/>
        <v>52</v>
      </c>
      <c r="AC46">
        <f t="shared" si="116"/>
        <v>50</v>
      </c>
      <c r="AD46">
        <f t="shared" si="117"/>
        <v>50</v>
      </c>
      <c r="AE46">
        <f t="shared" si="118"/>
        <v>52</v>
      </c>
      <c r="AF46">
        <f t="shared" si="119"/>
        <v>52</v>
      </c>
      <c r="AG46">
        <f t="shared" si="120"/>
        <v>32</v>
      </c>
      <c r="AH46">
        <f t="shared" si="121"/>
        <v>32</v>
      </c>
      <c r="AI46">
        <f t="shared" si="122"/>
        <v>50</v>
      </c>
      <c r="AJ46">
        <f t="shared" si="123"/>
        <v>30</v>
      </c>
      <c r="AK46">
        <f t="shared" si="124"/>
        <v>0</v>
      </c>
      <c r="AL46">
        <f t="shared" si="125"/>
        <v>32</v>
      </c>
      <c r="AM46">
        <f t="shared" si="126"/>
        <v>29.05</v>
      </c>
      <c r="AN46">
        <f t="shared" si="127"/>
        <v>96.25</v>
      </c>
      <c r="AO46">
        <f t="shared" si="128"/>
        <v>37.299999999999997</v>
      </c>
      <c r="AP46">
        <f t="shared" si="129"/>
        <v>51.2</v>
      </c>
      <c r="AQ46">
        <f t="shared" si="130"/>
        <v>37.4</v>
      </c>
      <c r="AR46">
        <f t="shared" si="41"/>
        <v>24.7</v>
      </c>
      <c r="AS46">
        <f t="shared" si="131"/>
        <v>44</v>
      </c>
      <c r="AT46" s="15">
        <v>2</v>
      </c>
      <c r="AU46" s="15">
        <v>2</v>
      </c>
      <c r="AV46" s="15">
        <v>3</v>
      </c>
      <c r="AW46">
        <f t="shared" si="132"/>
        <v>7</v>
      </c>
      <c r="AX46" s="38" t="e" vm="43">
        <v>#VALUE!</v>
      </c>
      <c r="AY46" s="59" cm="1">
        <f t="array" aca="1" ref="AY46" ca="1">_FV(AX46,"PRECIO")</f>
        <v>54.95</v>
      </c>
      <c r="AZ46" s="60">
        <v>54</v>
      </c>
      <c r="BA46" s="55" t="str">
        <f>IFERROR(INDEX('DCF Simplified'!$Y$4:$Y$38,MATCH(A46,'DCF Simplified'!$A$4:$A$38,0)),"")</f>
        <v/>
      </c>
      <c r="BB46" s="57">
        <f t="shared" ca="1" si="133"/>
        <v>-1.7288444040036446E-2</v>
      </c>
      <c r="BD46">
        <v>0.05</v>
      </c>
      <c r="BE46">
        <v>52</v>
      </c>
      <c r="BF46">
        <v>0.1</v>
      </c>
      <c r="BG46">
        <f t="shared" si="134"/>
        <v>65</v>
      </c>
      <c r="BH46">
        <f t="shared" si="135"/>
        <v>70</v>
      </c>
      <c r="BI46">
        <f t="shared" si="136"/>
        <v>65</v>
      </c>
      <c r="BJ46">
        <f t="shared" si="137"/>
        <v>66.3</v>
      </c>
      <c r="BK46">
        <f t="shared" si="138"/>
        <v>52</v>
      </c>
      <c r="BL46" t="str">
        <f t="shared" si="139"/>
        <v>🟠 WEAK</v>
      </c>
      <c r="BM46" s="49" t="str">
        <f t="shared" si="140"/>
        <v>🟠 UNDERWEIGHT</v>
      </c>
    </row>
    <row r="47" spans="1:65" x14ac:dyDescent="0.4">
      <c r="A47" t="s">
        <v>299</v>
      </c>
      <c r="B47" t="s">
        <v>46</v>
      </c>
      <c r="C47" s="1">
        <v>0.13</v>
      </c>
      <c r="D47" s="1">
        <v>0.1</v>
      </c>
      <c r="E47" s="1">
        <v>0.3</v>
      </c>
      <c r="F47" s="1">
        <v>0.1</v>
      </c>
      <c r="G47" s="1">
        <v>0.12</v>
      </c>
      <c r="H47" s="33">
        <v>1.3</v>
      </c>
      <c r="I47" s="33">
        <v>1.5</v>
      </c>
      <c r="J47" s="33">
        <v>0.82</v>
      </c>
      <c r="K47" s="34">
        <v>12</v>
      </c>
      <c r="L47" s="18">
        <v>0.35</v>
      </c>
      <c r="M47" s="33">
        <v>1.05</v>
      </c>
      <c r="N47" s="18">
        <v>0.03</v>
      </c>
      <c r="O47" s="33">
        <v>21</v>
      </c>
      <c r="P47" s="33">
        <v>18</v>
      </c>
      <c r="Q47" s="33">
        <v>25</v>
      </c>
      <c r="R47" s="18">
        <v>8.9999999999999993E-3</v>
      </c>
      <c r="S47" s="18">
        <v>0.22</v>
      </c>
      <c r="T47" s="18">
        <v>0.03</v>
      </c>
      <c r="U47">
        <f t="shared" si="108"/>
        <v>72</v>
      </c>
      <c r="V47">
        <f t="shared" si="109"/>
        <v>72</v>
      </c>
      <c r="W47">
        <f t="shared" si="110"/>
        <v>100</v>
      </c>
      <c r="X47">
        <f t="shared" si="111"/>
        <v>85</v>
      </c>
      <c r="Y47">
        <f t="shared" si="112"/>
        <v>85</v>
      </c>
      <c r="Z47">
        <f t="shared" si="113"/>
        <v>85</v>
      </c>
      <c r="AA47">
        <f t="shared" si="114"/>
        <v>85</v>
      </c>
      <c r="AB47">
        <f t="shared" si="115"/>
        <v>52</v>
      </c>
      <c r="AC47">
        <f t="shared" si="116"/>
        <v>100</v>
      </c>
      <c r="AD47">
        <f t="shared" si="117"/>
        <v>100</v>
      </c>
      <c r="AE47">
        <f t="shared" si="118"/>
        <v>85</v>
      </c>
      <c r="AF47">
        <f t="shared" si="119"/>
        <v>85</v>
      </c>
      <c r="AG47">
        <f t="shared" si="120"/>
        <v>32</v>
      </c>
      <c r="AH47">
        <f t="shared" si="121"/>
        <v>32</v>
      </c>
      <c r="AI47">
        <f t="shared" si="122"/>
        <v>50</v>
      </c>
      <c r="AJ47">
        <f t="shared" si="123"/>
        <v>30</v>
      </c>
      <c r="AK47">
        <f t="shared" si="124"/>
        <v>0</v>
      </c>
      <c r="AL47">
        <f t="shared" si="125"/>
        <v>70</v>
      </c>
      <c r="AM47">
        <f t="shared" si="126"/>
        <v>80.400000000000006</v>
      </c>
      <c r="AN47">
        <f t="shared" si="127"/>
        <v>85</v>
      </c>
      <c r="AO47">
        <f t="shared" si="128"/>
        <v>80.349999999999994</v>
      </c>
      <c r="AP47">
        <f t="shared" si="129"/>
        <v>91</v>
      </c>
      <c r="AQ47">
        <f t="shared" si="130"/>
        <v>37.4</v>
      </c>
      <c r="AR47">
        <f t="shared" si="41"/>
        <v>38</v>
      </c>
      <c r="AS47">
        <f t="shared" si="131"/>
        <v>71</v>
      </c>
      <c r="AT47" s="15">
        <v>2</v>
      </c>
      <c r="AU47" s="15">
        <v>3</v>
      </c>
      <c r="AV47" s="15">
        <v>4</v>
      </c>
      <c r="AW47">
        <f t="shared" si="132"/>
        <v>9</v>
      </c>
      <c r="AX47" s="38" t="e" vm="44">
        <v>#VALUE!</v>
      </c>
      <c r="AY47" s="59" cm="1">
        <f t="array" aca="1" ref="AY47" ca="1">_FV(AX47,"PRECIO")</f>
        <v>412.45</v>
      </c>
      <c r="AZ47" s="60">
        <v>570</v>
      </c>
      <c r="BA47" s="55" t="str">
        <f>IFERROR(INDEX('DCF Simplified'!$Y$4:$Y$38,MATCH(A47,'DCF Simplified'!$A$4:$A$38,0)),"")</f>
        <v/>
      </c>
      <c r="BB47" s="57">
        <f t="shared" ca="1" si="133"/>
        <v>0.38198569523578618</v>
      </c>
      <c r="BD47">
        <v>-0.05</v>
      </c>
      <c r="BE47">
        <v>48</v>
      </c>
      <c r="BF47">
        <v>-0.1</v>
      </c>
      <c r="BG47">
        <f t="shared" si="134"/>
        <v>25</v>
      </c>
      <c r="BH47">
        <f t="shared" si="135"/>
        <v>70</v>
      </c>
      <c r="BI47">
        <f t="shared" si="136"/>
        <v>25</v>
      </c>
      <c r="BJ47">
        <f t="shared" si="137"/>
        <v>36.299999999999997</v>
      </c>
      <c r="BK47">
        <f t="shared" si="138"/>
        <v>58</v>
      </c>
      <c r="BL47" t="str">
        <f t="shared" si="139"/>
        <v>⚪ NEUTRAL</v>
      </c>
      <c r="BM47" s="49" t="str">
        <f t="shared" si="140"/>
        <v>⚠️ HOLD</v>
      </c>
    </row>
    <row r="48" spans="1:65" x14ac:dyDescent="0.4">
      <c r="A48" t="s">
        <v>300</v>
      </c>
      <c r="B48" t="s">
        <v>0</v>
      </c>
      <c r="C48" s="1">
        <v>0.25</v>
      </c>
      <c r="D48" s="1">
        <v>0.13</v>
      </c>
      <c r="E48" s="1">
        <v>0.11</v>
      </c>
      <c r="F48" s="1">
        <v>0.18</v>
      </c>
      <c r="G48" s="1">
        <v>0.3</v>
      </c>
      <c r="H48" s="33">
        <v>1.5</v>
      </c>
      <c r="I48" s="33">
        <v>-0.4</v>
      </c>
      <c r="J48" s="33">
        <v>1.1000000000000001</v>
      </c>
      <c r="K48" s="34">
        <v>20</v>
      </c>
      <c r="L48" s="18">
        <v>0.12</v>
      </c>
      <c r="M48" s="33">
        <v>1.04</v>
      </c>
      <c r="N48" s="18">
        <v>0.06</v>
      </c>
      <c r="O48" s="33">
        <v>28</v>
      </c>
      <c r="P48" s="33">
        <v>20</v>
      </c>
      <c r="Q48" s="33">
        <v>32</v>
      </c>
      <c r="R48" s="18">
        <v>1.2E-2</v>
      </c>
      <c r="S48" s="18">
        <v>0.4</v>
      </c>
      <c r="T48" s="18">
        <v>0.02</v>
      </c>
      <c r="U48">
        <f t="shared" si="108"/>
        <v>100</v>
      </c>
      <c r="V48">
        <f t="shared" si="109"/>
        <v>70</v>
      </c>
      <c r="W48">
        <f t="shared" si="110"/>
        <v>85</v>
      </c>
      <c r="X48">
        <f t="shared" si="111"/>
        <v>100</v>
      </c>
      <c r="Y48">
        <f t="shared" si="112"/>
        <v>100</v>
      </c>
      <c r="Z48">
        <f t="shared" si="113"/>
        <v>82</v>
      </c>
      <c r="AA48">
        <f t="shared" si="114"/>
        <v>100</v>
      </c>
      <c r="AB48">
        <f t="shared" si="115"/>
        <v>50</v>
      </c>
      <c r="AC48">
        <f t="shared" si="116"/>
        <v>100</v>
      </c>
      <c r="AD48">
        <f t="shared" si="117"/>
        <v>100</v>
      </c>
      <c r="AE48">
        <f t="shared" si="118"/>
        <v>82</v>
      </c>
      <c r="AF48">
        <f t="shared" si="119"/>
        <v>82</v>
      </c>
      <c r="AG48">
        <f t="shared" si="120"/>
        <v>28</v>
      </c>
      <c r="AH48">
        <f t="shared" si="121"/>
        <v>28</v>
      </c>
      <c r="AI48">
        <f t="shared" si="122"/>
        <v>48</v>
      </c>
      <c r="AJ48">
        <f t="shared" si="123"/>
        <v>45</v>
      </c>
      <c r="AK48">
        <f t="shared" si="124"/>
        <v>100</v>
      </c>
      <c r="AL48">
        <f t="shared" si="125"/>
        <v>82</v>
      </c>
      <c r="AM48">
        <f t="shared" si="126"/>
        <v>85</v>
      </c>
      <c r="AN48">
        <f t="shared" si="127"/>
        <v>95.5</v>
      </c>
      <c r="AO48">
        <f t="shared" si="128"/>
        <v>85</v>
      </c>
      <c r="AP48">
        <f t="shared" si="129"/>
        <v>89.2</v>
      </c>
      <c r="AQ48">
        <f t="shared" si="130"/>
        <v>34</v>
      </c>
      <c r="AR48">
        <f t="shared" si="41"/>
        <v>68.95</v>
      </c>
      <c r="AS48">
        <f t="shared" si="131"/>
        <v>78</v>
      </c>
      <c r="AT48" s="15">
        <v>3</v>
      </c>
      <c r="AU48" s="15">
        <v>3</v>
      </c>
      <c r="AV48" s="15">
        <v>3</v>
      </c>
      <c r="AW48">
        <f t="shared" si="132"/>
        <v>9</v>
      </c>
      <c r="AX48" s="38" t="e" vm="45">
        <v>#VALUE!</v>
      </c>
      <c r="AY48" s="59" cm="1">
        <f t="array" aca="1" ref="AY48" ca="1">_FV(AX48,"PRECIO")</f>
        <v>282.8</v>
      </c>
      <c r="AZ48" s="60">
        <v>367</v>
      </c>
      <c r="BA48" s="55" t="str">
        <f>IFERROR(INDEX('DCF Simplified'!$Y$4:$Y$38,MATCH(A48,'DCF Simplified'!$A$4:$A$38,0)),"")</f>
        <v/>
      </c>
      <c r="BB48" s="57">
        <f t="shared" ca="1" si="133"/>
        <v>0.29773691654879769</v>
      </c>
      <c r="BD48">
        <v>0.08</v>
      </c>
      <c r="BE48">
        <v>58</v>
      </c>
      <c r="BF48">
        <v>0.15</v>
      </c>
      <c r="BG48">
        <f t="shared" si="134"/>
        <v>80</v>
      </c>
      <c r="BH48">
        <f t="shared" si="135"/>
        <v>70</v>
      </c>
      <c r="BI48">
        <f t="shared" si="136"/>
        <v>80</v>
      </c>
      <c r="BJ48">
        <f t="shared" si="137"/>
        <v>77.5</v>
      </c>
      <c r="BK48">
        <f t="shared" si="138"/>
        <v>71</v>
      </c>
      <c r="BL48" t="str">
        <f t="shared" si="139"/>
        <v>🟡 FAVORABLE</v>
      </c>
      <c r="BM48" s="49" t="str">
        <f t="shared" si="140"/>
        <v>✅ BUY</v>
      </c>
    </row>
    <row r="49" spans="1:65" x14ac:dyDescent="0.4">
      <c r="A49" t="s">
        <v>301</v>
      </c>
      <c r="B49" t="s">
        <v>0</v>
      </c>
      <c r="C49" s="1">
        <v>0.45</v>
      </c>
      <c r="D49" s="1">
        <v>0.2</v>
      </c>
      <c r="E49" s="1">
        <v>0.18</v>
      </c>
      <c r="F49" s="1">
        <v>0.12</v>
      </c>
      <c r="G49" s="1">
        <v>0.45</v>
      </c>
      <c r="H49" s="33">
        <v>1.8</v>
      </c>
      <c r="I49" s="33">
        <v>0.5</v>
      </c>
      <c r="J49" s="33">
        <v>1.1000000000000001</v>
      </c>
      <c r="K49" s="34">
        <v>15</v>
      </c>
      <c r="L49" s="18">
        <v>0.15</v>
      </c>
      <c r="M49" s="33">
        <v>0.9</v>
      </c>
      <c r="N49" s="18">
        <v>0.04</v>
      </c>
      <c r="O49" s="33">
        <v>35</v>
      </c>
      <c r="P49" s="33">
        <v>28</v>
      </c>
      <c r="Q49" s="33">
        <v>40</v>
      </c>
      <c r="R49" s="18">
        <v>6.0000000000000001E-3</v>
      </c>
      <c r="S49" s="18">
        <v>0.12</v>
      </c>
      <c r="T49" s="18">
        <v>0.03</v>
      </c>
      <c r="U49">
        <f t="shared" si="108"/>
        <v>100</v>
      </c>
      <c r="V49">
        <f t="shared" si="109"/>
        <v>100</v>
      </c>
      <c r="W49">
        <f t="shared" si="110"/>
        <v>100</v>
      </c>
      <c r="X49">
        <f t="shared" si="111"/>
        <v>100</v>
      </c>
      <c r="Y49">
        <f t="shared" si="112"/>
        <v>100</v>
      </c>
      <c r="Z49">
        <f t="shared" si="113"/>
        <v>100</v>
      </c>
      <c r="AA49">
        <f t="shared" si="114"/>
        <v>85</v>
      </c>
      <c r="AB49">
        <f t="shared" si="115"/>
        <v>50</v>
      </c>
      <c r="AC49">
        <f t="shared" si="116"/>
        <v>100</v>
      </c>
      <c r="AD49">
        <f t="shared" si="117"/>
        <v>100</v>
      </c>
      <c r="AE49">
        <f t="shared" si="118"/>
        <v>82</v>
      </c>
      <c r="AF49">
        <f t="shared" si="119"/>
        <v>82</v>
      </c>
      <c r="AG49">
        <f t="shared" si="120"/>
        <v>10</v>
      </c>
      <c r="AH49">
        <f t="shared" si="121"/>
        <v>10</v>
      </c>
      <c r="AI49">
        <f t="shared" si="122"/>
        <v>28</v>
      </c>
      <c r="AJ49">
        <f t="shared" si="123"/>
        <v>25</v>
      </c>
      <c r="AK49">
        <f t="shared" si="124"/>
        <v>0</v>
      </c>
      <c r="AL49">
        <f t="shared" si="125"/>
        <v>100</v>
      </c>
      <c r="AM49">
        <f t="shared" si="126"/>
        <v>100</v>
      </c>
      <c r="AN49">
        <f t="shared" si="127"/>
        <v>100</v>
      </c>
      <c r="AO49">
        <f t="shared" si="128"/>
        <v>79.75</v>
      </c>
      <c r="AP49">
        <f t="shared" si="129"/>
        <v>89.2</v>
      </c>
      <c r="AQ49">
        <f t="shared" si="130"/>
        <v>15.4</v>
      </c>
      <c r="AR49">
        <f t="shared" si="41"/>
        <v>46.25</v>
      </c>
      <c r="AS49">
        <f t="shared" si="131"/>
        <v>75</v>
      </c>
      <c r="AT49" s="15">
        <v>4</v>
      </c>
      <c r="AU49" s="15">
        <v>3</v>
      </c>
      <c r="AV49" s="15">
        <v>3</v>
      </c>
      <c r="AW49">
        <f t="shared" si="132"/>
        <v>10</v>
      </c>
      <c r="AX49" s="38" t="e" vm="46">
        <v>#VALUE!</v>
      </c>
      <c r="AY49" s="59" cm="1">
        <f t="array" aca="1" ref="AY49" ca="1">_FV(AX49,"PRECIO")</f>
        <v>249</v>
      </c>
      <c r="AZ49" s="60">
        <v>293</v>
      </c>
      <c r="BA49" s="55" t="str">
        <f>IFERROR(INDEX('DCF Simplified'!$Y$4:$Y$38,MATCH(A49,'DCF Simplified'!$A$4:$A$38,0)),"")</f>
        <v/>
      </c>
      <c r="BB49" s="57">
        <f t="shared" ca="1" si="133"/>
        <v>0.17670682730923695</v>
      </c>
      <c r="BD49">
        <v>0.15</v>
      </c>
      <c r="BE49">
        <v>60</v>
      </c>
      <c r="BF49">
        <v>0.25</v>
      </c>
      <c r="BG49">
        <f t="shared" si="134"/>
        <v>100</v>
      </c>
      <c r="BH49">
        <f t="shared" si="135"/>
        <v>70</v>
      </c>
      <c r="BI49">
        <f t="shared" si="136"/>
        <v>100</v>
      </c>
      <c r="BJ49">
        <f t="shared" si="137"/>
        <v>92.5</v>
      </c>
      <c r="BK49">
        <f t="shared" si="138"/>
        <v>71</v>
      </c>
      <c r="BL49" t="str">
        <f t="shared" si="139"/>
        <v>🟡 FAVORABLE</v>
      </c>
      <c r="BM49" s="49" t="str">
        <f t="shared" si="140"/>
        <v>✅ BUY</v>
      </c>
    </row>
    <row r="50" spans="1:65" x14ac:dyDescent="0.4">
      <c r="A50" t="s">
        <v>302</v>
      </c>
      <c r="B50" t="s">
        <v>44</v>
      </c>
      <c r="C50" s="1">
        <v>0.3</v>
      </c>
      <c r="D50" s="1">
        <v>0.22</v>
      </c>
      <c r="E50" s="1">
        <v>0.45</v>
      </c>
      <c r="F50" s="1">
        <v>0.25</v>
      </c>
      <c r="G50" s="1">
        <v>0.35</v>
      </c>
      <c r="H50" s="33">
        <v>2</v>
      </c>
      <c r="I50" s="33">
        <v>-1.5</v>
      </c>
      <c r="J50" s="33">
        <v>2.6</v>
      </c>
      <c r="K50" s="34">
        <v>50</v>
      </c>
      <c r="L50" s="18">
        <v>0.26</v>
      </c>
      <c r="M50" s="33">
        <v>0.57999999999999996</v>
      </c>
      <c r="N50" s="18">
        <v>0.33</v>
      </c>
      <c r="O50" s="33">
        <v>22</v>
      </c>
      <c r="P50" s="33">
        <v>16</v>
      </c>
      <c r="Q50">
        <v>50</v>
      </c>
      <c r="R50">
        <v>0.01</v>
      </c>
      <c r="S50">
        <v>0.3</v>
      </c>
      <c r="T50">
        <v>0</v>
      </c>
      <c r="U50">
        <f t="shared" si="108"/>
        <v>100</v>
      </c>
      <c r="V50">
        <f t="shared" si="109"/>
        <v>88</v>
      </c>
      <c r="W50">
        <f t="shared" si="110"/>
        <v>100</v>
      </c>
      <c r="X50">
        <f t="shared" si="111"/>
        <v>100</v>
      </c>
      <c r="Y50">
        <f t="shared" si="112"/>
        <v>100</v>
      </c>
      <c r="Z50">
        <f t="shared" si="113"/>
        <v>100</v>
      </c>
      <c r="AA50">
        <f t="shared" si="114"/>
        <v>100</v>
      </c>
      <c r="AB50">
        <f t="shared" si="115"/>
        <v>100</v>
      </c>
      <c r="AC50">
        <f t="shared" si="116"/>
        <v>100</v>
      </c>
      <c r="AD50">
        <f t="shared" si="117"/>
        <v>100</v>
      </c>
      <c r="AE50">
        <f t="shared" si="118"/>
        <v>35</v>
      </c>
      <c r="AF50">
        <f t="shared" si="119"/>
        <v>0</v>
      </c>
      <c r="AG50">
        <f t="shared" si="120"/>
        <v>65</v>
      </c>
      <c r="AH50">
        <f t="shared" si="121"/>
        <v>82</v>
      </c>
      <c r="AI50">
        <f t="shared" si="122"/>
        <v>28</v>
      </c>
      <c r="AJ50">
        <f t="shared" si="123"/>
        <v>62</v>
      </c>
      <c r="AK50">
        <f t="shared" si="124"/>
        <v>85</v>
      </c>
      <c r="AL50">
        <f t="shared" si="125"/>
        <v>10</v>
      </c>
      <c r="AM50">
        <f t="shared" si="126"/>
        <v>95.8</v>
      </c>
      <c r="AN50">
        <f t="shared" si="127"/>
        <v>100</v>
      </c>
      <c r="AO50">
        <f t="shared" si="128"/>
        <v>100</v>
      </c>
      <c r="AP50">
        <f t="shared" si="129"/>
        <v>52.25</v>
      </c>
      <c r="AQ50">
        <f t="shared" si="130"/>
        <v>59.85</v>
      </c>
      <c r="AR50">
        <f t="shared" si="41"/>
        <v>48.400000000000006</v>
      </c>
      <c r="AS50">
        <f t="shared" si="131"/>
        <v>81</v>
      </c>
      <c r="AT50" s="15">
        <v>4</v>
      </c>
      <c r="AU50" s="15">
        <v>4</v>
      </c>
      <c r="AV50" s="15">
        <v>3</v>
      </c>
      <c r="AW50">
        <f t="shared" si="132"/>
        <v>10</v>
      </c>
      <c r="AX50" s="38" t="e" vm="47">
        <v>#VALUE!</v>
      </c>
      <c r="AY50" s="59" cm="1">
        <f t="array" aca="1" ref="AY50" ca="1">_FV(AX50,"PRECIO")</f>
        <v>326.11</v>
      </c>
      <c r="AZ50" s="60">
        <v>428</v>
      </c>
      <c r="BA50" s="55" t="str">
        <f>IFERROR(INDEX('DCF Simplified'!$Y$4:$Y$38,MATCH(A50,'DCF Simplified'!$A$4:$A$38,0)),"")</f>
        <v/>
      </c>
      <c r="BB50" s="57">
        <f t="shared" ca="1" si="133"/>
        <v>0.31244058753181436</v>
      </c>
      <c r="BD50">
        <v>0.1</v>
      </c>
      <c r="BE50">
        <v>55</v>
      </c>
      <c r="BF50">
        <v>0.2</v>
      </c>
      <c r="BG50">
        <f t="shared" si="134"/>
        <v>80</v>
      </c>
      <c r="BH50">
        <f t="shared" si="135"/>
        <v>70</v>
      </c>
      <c r="BI50">
        <f t="shared" si="136"/>
        <v>80</v>
      </c>
      <c r="BJ50">
        <f t="shared" si="137"/>
        <v>77.5</v>
      </c>
      <c r="BK50">
        <f t="shared" si="138"/>
        <v>79</v>
      </c>
      <c r="BL50" t="str">
        <f t="shared" si="139"/>
        <v>🟡 FAVORABLE</v>
      </c>
      <c r="BM50" s="49" t="str">
        <f t="shared" si="140"/>
        <v>🚀 STRONG BUY</v>
      </c>
    </row>
    <row r="51" spans="1:65" x14ac:dyDescent="0.4">
      <c r="A51" t="s">
        <v>303</v>
      </c>
      <c r="B51" t="s">
        <v>46</v>
      </c>
      <c r="C51" s="1">
        <v>0.62</v>
      </c>
      <c r="D51" s="1">
        <v>0.15</v>
      </c>
      <c r="E51" s="1">
        <v>0.32</v>
      </c>
      <c r="F51" s="1">
        <v>0.09</v>
      </c>
      <c r="G51" s="1">
        <v>0.12</v>
      </c>
      <c r="H51">
        <v>1.4</v>
      </c>
      <c r="I51">
        <v>2</v>
      </c>
      <c r="J51">
        <v>1.74</v>
      </c>
      <c r="K51">
        <v>10</v>
      </c>
      <c r="L51">
        <v>0.3</v>
      </c>
      <c r="M51">
        <v>0.95</v>
      </c>
      <c r="N51">
        <v>0.03</v>
      </c>
      <c r="O51">
        <v>29</v>
      </c>
      <c r="P51">
        <v>24</v>
      </c>
      <c r="Q51">
        <v>35</v>
      </c>
      <c r="R51">
        <v>8.9999999999999993E-3</v>
      </c>
      <c r="S51">
        <v>0.25</v>
      </c>
      <c r="T51">
        <v>0.02</v>
      </c>
      <c r="U51">
        <f t="shared" si="108"/>
        <v>100</v>
      </c>
      <c r="V51">
        <f t="shared" si="109"/>
        <v>100</v>
      </c>
      <c r="W51">
        <f t="shared" si="110"/>
        <v>100</v>
      </c>
      <c r="X51">
        <f t="shared" si="111"/>
        <v>85</v>
      </c>
      <c r="Y51">
        <f t="shared" si="112"/>
        <v>85</v>
      </c>
      <c r="Z51">
        <f t="shared" si="113"/>
        <v>85</v>
      </c>
      <c r="AA51">
        <f t="shared" si="114"/>
        <v>85</v>
      </c>
      <c r="AB51">
        <f t="shared" si="115"/>
        <v>100</v>
      </c>
      <c r="AC51">
        <f t="shared" si="116"/>
        <v>100</v>
      </c>
      <c r="AD51">
        <f t="shared" si="117"/>
        <v>100</v>
      </c>
      <c r="AE51">
        <f t="shared" si="118"/>
        <v>70</v>
      </c>
      <c r="AF51">
        <f t="shared" si="119"/>
        <v>85</v>
      </c>
      <c r="AG51">
        <f t="shared" si="120"/>
        <v>12</v>
      </c>
      <c r="AH51">
        <f t="shared" si="121"/>
        <v>12</v>
      </c>
      <c r="AI51">
        <f t="shared" si="122"/>
        <v>30</v>
      </c>
      <c r="AJ51">
        <f t="shared" si="123"/>
        <v>30</v>
      </c>
      <c r="AK51">
        <f t="shared" si="124"/>
        <v>55</v>
      </c>
      <c r="AL51">
        <f t="shared" si="125"/>
        <v>52</v>
      </c>
      <c r="AM51">
        <f t="shared" si="126"/>
        <v>100</v>
      </c>
      <c r="AN51">
        <f t="shared" si="127"/>
        <v>85</v>
      </c>
      <c r="AO51">
        <f t="shared" si="128"/>
        <v>94.75</v>
      </c>
      <c r="AP51">
        <f t="shared" si="129"/>
        <v>85.75</v>
      </c>
      <c r="AQ51">
        <f t="shared" si="130"/>
        <v>17.399999999999999</v>
      </c>
      <c r="AR51">
        <f t="shared" si="41"/>
        <v>42.7</v>
      </c>
      <c r="AS51">
        <f t="shared" si="131"/>
        <v>77</v>
      </c>
      <c r="AT51" s="15">
        <v>3</v>
      </c>
      <c r="AU51" s="15">
        <v>3</v>
      </c>
      <c r="AV51" s="15">
        <v>4</v>
      </c>
      <c r="AW51">
        <f t="shared" si="132"/>
        <v>10</v>
      </c>
      <c r="AX51" s="38" t="e" vm="48">
        <v>#VALUE!</v>
      </c>
      <c r="AY51" s="59" cm="1">
        <f t="array" aca="1" ref="AY51" ca="1">_FV(AX51,"PRECIO")</f>
        <v>432.28</v>
      </c>
      <c r="AZ51" s="60">
        <v>550</v>
      </c>
      <c r="BA51" s="55" t="str">
        <f>IFERROR(INDEX('DCF Simplified'!$Y$4:$Y$38,MATCH(A51,'DCF Simplified'!$A$4:$A$38,0)),"")</f>
        <v/>
      </c>
      <c r="BB51" s="57">
        <f t="shared" ca="1" si="133"/>
        <v>0.27232349403164624</v>
      </c>
      <c r="BD51">
        <v>-0.03</v>
      </c>
      <c r="BE51">
        <v>50</v>
      </c>
      <c r="BF51">
        <v>-0.05</v>
      </c>
      <c r="BG51">
        <f t="shared" si="134"/>
        <v>45</v>
      </c>
      <c r="BH51">
        <f t="shared" si="135"/>
        <v>70</v>
      </c>
      <c r="BI51">
        <f t="shared" si="136"/>
        <v>45</v>
      </c>
      <c r="BJ51">
        <f t="shared" si="137"/>
        <v>51.3</v>
      </c>
      <c r="BK51">
        <f t="shared" si="138"/>
        <v>62</v>
      </c>
      <c r="BL51" t="str">
        <f t="shared" si="139"/>
        <v>⚪ NEUTRAL</v>
      </c>
      <c r="BM51" s="49" t="str">
        <f t="shared" si="140"/>
        <v>⚠️ HOLD</v>
      </c>
    </row>
    <row r="52" spans="1:65" x14ac:dyDescent="0.4">
      <c r="A52" t="s">
        <v>304</v>
      </c>
      <c r="B52" t="s">
        <v>49</v>
      </c>
      <c r="C52" s="1">
        <v>0.22</v>
      </c>
      <c r="D52" s="1">
        <v>0.15</v>
      </c>
      <c r="E52" s="1">
        <v>0.15</v>
      </c>
      <c r="F52" s="1">
        <v>0.08</v>
      </c>
      <c r="G52" s="1">
        <v>0.1</v>
      </c>
      <c r="H52">
        <v>1.1000000000000001</v>
      </c>
      <c r="I52">
        <v>0.5</v>
      </c>
      <c r="J52">
        <v>1.1000000000000001</v>
      </c>
      <c r="K52">
        <v>30</v>
      </c>
      <c r="L52">
        <v>0.14000000000000001</v>
      </c>
      <c r="M52">
        <v>0.85</v>
      </c>
      <c r="N52">
        <v>0.05</v>
      </c>
      <c r="O52">
        <v>30</v>
      </c>
      <c r="P52">
        <v>22</v>
      </c>
      <c r="Q52">
        <v>35</v>
      </c>
      <c r="R52">
        <v>1.7999999999999999E-2</v>
      </c>
      <c r="S52">
        <v>0.55000000000000004</v>
      </c>
      <c r="T52">
        <v>0.02</v>
      </c>
      <c r="U52">
        <f t="shared" si="108"/>
        <v>100</v>
      </c>
      <c r="V52">
        <f t="shared" si="109"/>
        <v>85</v>
      </c>
      <c r="W52">
        <f t="shared" si="110"/>
        <v>100</v>
      </c>
      <c r="X52">
        <f t="shared" si="111"/>
        <v>100</v>
      </c>
      <c r="Y52">
        <f t="shared" si="112"/>
        <v>100</v>
      </c>
      <c r="Z52">
        <f t="shared" si="113"/>
        <v>68</v>
      </c>
      <c r="AA52">
        <f t="shared" si="114"/>
        <v>85</v>
      </c>
      <c r="AB52">
        <f t="shared" si="115"/>
        <v>68</v>
      </c>
      <c r="AC52">
        <f t="shared" si="116"/>
        <v>100</v>
      </c>
      <c r="AD52">
        <f t="shared" si="117"/>
        <v>100</v>
      </c>
      <c r="AE52">
        <f t="shared" si="118"/>
        <v>68</v>
      </c>
      <c r="AF52">
        <f t="shared" si="119"/>
        <v>82</v>
      </c>
      <c r="AG52">
        <f t="shared" si="120"/>
        <v>28</v>
      </c>
      <c r="AH52">
        <f t="shared" si="121"/>
        <v>28</v>
      </c>
      <c r="AI52">
        <f t="shared" si="122"/>
        <v>48</v>
      </c>
      <c r="AJ52">
        <f t="shared" si="123"/>
        <v>50</v>
      </c>
      <c r="AK52">
        <f t="shared" si="124"/>
        <v>100</v>
      </c>
      <c r="AL52">
        <f t="shared" si="125"/>
        <v>82</v>
      </c>
      <c r="AM52">
        <f t="shared" si="126"/>
        <v>94.75</v>
      </c>
      <c r="AN52">
        <f t="shared" si="127"/>
        <v>92</v>
      </c>
      <c r="AO52">
        <f t="shared" si="128"/>
        <v>85.149999999999991</v>
      </c>
      <c r="AP52">
        <f t="shared" si="129"/>
        <v>84.3</v>
      </c>
      <c r="AQ52">
        <f t="shared" si="130"/>
        <v>34</v>
      </c>
      <c r="AR52">
        <f t="shared" si="41"/>
        <v>71.2</v>
      </c>
      <c r="AS52">
        <f t="shared" si="131"/>
        <v>77</v>
      </c>
      <c r="AT52" s="15">
        <v>3</v>
      </c>
      <c r="AU52" s="15">
        <v>4</v>
      </c>
      <c r="AV52" s="15">
        <v>4</v>
      </c>
      <c r="AW52">
        <f t="shared" si="132"/>
        <v>10</v>
      </c>
      <c r="AX52" s="38" t="e" vm="49">
        <v>#VALUE!</v>
      </c>
      <c r="AY52" s="59" cm="1">
        <f t="array" aca="1" ref="AY52" ca="1">_FV(AX52,"PRECIO")</f>
        <v>0.77</v>
      </c>
      <c r="AZ52" s="60">
        <v>419</v>
      </c>
      <c r="BA52" s="55" t="str">
        <f>IFERROR(INDEX('DCF Simplified'!$Y$4:$Y$38,MATCH(A52,'DCF Simplified'!$A$4:$A$38,0)),"")</f>
        <v/>
      </c>
      <c r="BB52" s="57">
        <f t="shared" ca="1" si="133"/>
        <v>543.15584415584419</v>
      </c>
      <c r="BD52">
        <v>-0.05</v>
      </c>
      <c r="BE52">
        <v>45</v>
      </c>
      <c r="BF52">
        <v>-0.08</v>
      </c>
      <c r="BG52">
        <f t="shared" si="134"/>
        <v>25</v>
      </c>
      <c r="BH52">
        <f t="shared" si="135"/>
        <v>70</v>
      </c>
      <c r="BI52">
        <f t="shared" si="136"/>
        <v>45</v>
      </c>
      <c r="BJ52">
        <f t="shared" si="137"/>
        <v>43.3</v>
      </c>
      <c r="BK52">
        <f t="shared" si="138"/>
        <v>63</v>
      </c>
      <c r="BL52" t="str">
        <f t="shared" si="139"/>
        <v>⚪ NEUTRAL</v>
      </c>
      <c r="BM52" s="49" t="str">
        <f t="shared" si="140"/>
        <v>⚠️ HOLD</v>
      </c>
    </row>
    <row r="53" spans="1:65" x14ac:dyDescent="0.4">
      <c r="A53" t="s">
        <v>305</v>
      </c>
      <c r="B53" t="s">
        <v>46</v>
      </c>
      <c r="C53" s="1">
        <v>2.1</v>
      </c>
      <c r="D53" s="1">
        <v>0.45</v>
      </c>
      <c r="E53" s="1">
        <v>0.46</v>
      </c>
      <c r="F53" s="1">
        <v>0.16</v>
      </c>
      <c r="G53" s="1">
        <v>0.18</v>
      </c>
      <c r="H53">
        <v>1.3</v>
      </c>
      <c r="I53">
        <v>0.5</v>
      </c>
      <c r="J53">
        <v>1.03</v>
      </c>
      <c r="K53">
        <v>25</v>
      </c>
      <c r="L53">
        <v>0.52</v>
      </c>
      <c r="M53">
        <v>1.1499999999999999</v>
      </c>
      <c r="N53">
        <v>1.4999999999999999E-2</v>
      </c>
      <c r="O53">
        <v>28</v>
      </c>
      <c r="P53">
        <v>24</v>
      </c>
      <c r="Q53">
        <v>29</v>
      </c>
      <c r="R53">
        <v>6.0000000000000001E-3</v>
      </c>
      <c r="S53">
        <v>0.19</v>
      </c>
      <c r="T53">
        <v>0.04</v>
      </c>
      <c r="U53">
        <f t="shared" si="108"/>
        <v>100</v>
      </c>
      <c r="V53">
        <f t="shared" si="109"/>
        <v>100</v>
      </c>
      <c r="W53">
        <f t="shared" si="110"/>
        <v>100</v>
      </c>
      <c r="X53">
        <f t="shared" si="111"/>
        <v>100</v>
      </c>
      <c r="Y53">
        <f t="shared" si="112"/>
        <v>100</v>
      </c>
      <c r="Z53">
        <f t="shared" si="113"/>
        <v>85</v>
      </c>
      <c r="AA53">
        <f t="shared" si="114"/>
        <v>85</v>
      </c>
      <c r="AB53">
        <f t="shared" si="115"/>
        <v>70</v>
      </c>
      <c r="AC53">
        <f t="shared" si="116"/>
        <v>100</v>
      </c>
      <c r="AD53">
        <f t="shared" si="117"/>
        <v>100</v>
      </c>
      <c r="AE53">
        <f t="shared" si="118"/>
        <v>85</v>
      </c>
      <c r="AF53">
        <f t="shared" si="119"/>
        <v>100</v>
      </c>
      <c r="AG53">
        <f t="shared" si="120"/>
        <v>12</v>
      </c>
      <c r="AH53">
        <f t="shared" si="121"/>
        <v>12</v>
      </c>
      <c r="AI53">
        <f t="shared" si="122"/>
        <v>50</v>
      </c>
      <c r="AJ53">
        <f t="shared" si="123"/>
        <v>30</v>
      </c>
      <c r="AK53">
        <f t="shared" si="124"/>
        <v>0</v>
      </c>
      <c r="AL53">
        <f t="shared" si="125"/>
        <v>85</v>
      </c>
      <c r="AM53">
        <f t="shared" si="126"/>
        <v>100</v>
      </c>
      <c r="AN53">
        <f t="shared" si="127"/>
        <v>96.25</v>
      </c>
      <c r="AO53">
        <f t="shared" si="128"/>
        <v>85.75</v>
      </c>
      <c r="AP53">
        <f t="shared" si="129"/>
        <v>94.75</v>
      </c>
      <c r="AQ53">
        <f t="shared" si="130"/>
        <v>23.4</v>
      </c>
      <c r="AR53">
        <f t="shared" si="41"/>
        <v>43.25</v>
      </c>
      <c r="AS53">
        <f t="shared" si="131"/>
        <v>78</v>
      </c>
      <c r="AT53" s="15">
        <v>4</v>
      </c>
      <c r="AU53" s="15">
        <v>4</v>
      </c>
      <c r="AV53" s="15">
        <v>4</v>
      </c>
      <c r="AW53">
        <f t="shared" si="132"/>
        <v>10</v>
      </c>
      <c r="AX53" s="38" t="e" vm="50">
        <v>#VALUE!</v>
      </c>
      <c r="AY53" s="59" cm="1">
        <f t="array" aca="1" ref="AY53" ca="1">_FV(AX53,"PRECIO")</f>
        <v>7.3000000000000001E-3</v>
      </c>
      <c r="AZ53" s="60">
        <v>550</v>
      </c>
      <c r="BA53" s="55" t="str">
        <f>IFERROR(INDEX('DCF Simplified'!$Y$4:$Y$38,MATCH(A53,'DCF Simplified'!$A$4:$A$38,0)),"")</f>
        <v/>
      </c>
      <c r="BB53" s="57">
        <f t="shared" ca="1" si="133"/>
        <v>75341.465753424665</v>
      </c>
      <c r="BD53">
        <v>-0.02</v>
      </c>
      <c r="BE53">
        <v>50</v>
      </c>
      <c r="BF53">
        <v>-0.05</v>
      </c>
      <c r="BG53">
        <f t="shared" si="134"/>
        <v>45</v>
      </c>
      <c r="BH53">
        <f t="shared" si="135"/>
        <v>70</v>
      </c>
      <c r="BI53">
        <f t="shared" si="136"/>
        <v>45</v>
      </c>
      <c r="BJ53">
        <f t="shared" si="137"/>
        <v>51.3</v>
      </c>
      <c r="BK53">
        <f t="shared" si="138"/>
        <v>64</v>
      </c>
      <c r="BL53" t="str">
        <f t="shared" si="139"/>
        <v>⚪ NEUTRAL</v>
      </c>
      <c r="BM53" s="49" t="str">
        <f t="shared" si="140"/>
        <v>⚠️ HOLD</v>
      </c>
    </row>
    <row r="54" spans="1:65" x14ac:dyDescent="0.4">
      <c r="A54" t="s">
        <v>306</v>
      </c>
      <c r="B54" t="s">
        <v>0</v>
      </c>
      <c r="C54" s="1">
        <v>0.15</v>
      </c>
      <c r="D54" s="1">
        <v>0.1</v>
      </c>
      <c r="E54" s="1">
        <v>0.11</v>
      </c>
      <c r="F54" s="1">
        <v>0.1</v>
      </c>
      <c r="G54" s="1">
        <v>0.15</v>
      </c>
      <c r="H54">
        <v>1.3</v>
      </c>
      <c r="I54">
        <v>1.5</v>
      </c>
      <c r="J54">
        <v>1</v>
      </c>
      <c r="K54">
        <v>12</v>
      </c>
      <c r="L54">
        <v>0.09</v>
      </c>
      <c r="M54">
        <v>0.85</v>
      </c>
      <c r="N54">
        <v>0.04</v>
      </c>
      <c r="O54">
        <v>25</v>
      </c>
      <c r="P54">
        <v>18</v>
      </c>
      <c r="Q54">
        <v>30</v>
      </c>
      <c r="R54">
        <v>1.6E-2</v>
      </c>
      <c r="S54">
        <v>0.45</v>
      </c>
      <c r="T54">
        <v>0.01</v>
      </c>
      <c r="U54">
        <f t="shared" si="108"/>
        <v>72</v>
      </c>
      <c r="V54">
        <f t="shared" si="109"/>
        <v>70</v>
      </c>
      <c r="W54">
        <f t="shared" si="110"/>
        <v>85</v>
      </c>
      <c r="X54">
        <f t="shared" si="111"/>
        <v>85</v>
      </c>
      <c r="Y54">
        <f t="shared" si="112"/>
        <v>100</v>
      </c>
      <c r="Z54">
        <f t="shared" si="113"/>
        <v>68</v>
      </c>
      <c r="AA54">
        <f t="shared" si="114"/>
        <v>68</v>
      </c>
      <c r="AB54">
        <f t="shared" si="115"/>
        <v>50</v>
      </c>
      <c r="AC54">
        <f t="shared" si="116"/>
        <v>100</v>
      </c>
      <c r="AD54">
        <f t="shared" si="117"/>
        <v>82</v>
      </c>
      <c r="AE54">
        <f t="shared" si="118"/>
        <v>68</v>
      </c>
      <c r="AF54">
        <f t="shared" si="119"/>
        <v>82</v>
      </c>
      <c r="AG54">
        <f t="shared" si="120"/>
        <v>48</v>
      </c>
      <c r="AH54">
        <f t="shared" si="121"/>
        <v>48</v>
      </c>
      <c r="AI54">
        <f t="shared" si="122"/>
        <v>48</v>
      </c>
      <c r="AJ54">
        <f t="shared" si="123"/>
        <v>65</v>
      </c>
      <c r="AK54">
        <f t="shared" si="124"/>
        <v>100</v>
      </c>
      <c r="AL54">
        <f t="shared" si="125"/>
        <v>48</v>
      </c>
      <c r="AM54">
        <f t="shared" si="126"/>
        <v>75.2</v>
      </c>
      <c r="AN54">
        <f t="shared" si="127"/>
        <v>86</v>
      </c>
      <c r="AO54">
        <f t="shared" si="128"/>
        <v>73.8</v>
      </c>
      <c r="AP54">
        <f t="shared" si="129"/>
        <v>77.099999999999994</v>
      </c>
      <c r="AQ54">
        <f t="shared" si="130"/>
        <v>47.999999999999993</v>
      </c>
      <c r="AR54">
        <f t="shared" si="41"/>
        <v>66.05</v>
      </c>
      <c r="AS54">
        <f t="shared" si="131"/>
        <v>72</v>
      </c>
      <c r="AT54" s="15">
        <v>3</v>
      </c>
      <c r="AU54" s="15">
        <v>3</v>
      </c>
      <c r="AV54" s="15">
        <v>3</v>
      </c>
      <c r="AW54">
        <f t="shared" si="132"/>
        <v>9</v>
      </c>
      <c r="AX54" s="38" t="e" vm="51">
        <v>#VALUE!</v>
      </c>
      <c r="AY54" s="59" cm="1">
        <f t="array" aca="1" ref="AY54" ca="1">_FV(AX54,"PRECIO")</f>
        <v>234.55</v>
      </c>
      <c r="AZ54" s="60">
        <v>250</v>
      </c>
      <c r="BA54" s="55" t="str">
        <f>IFERROR(INDEX('DCF Simplified'!$Y$4:$Y$38,MATCH(A54,'DCF Simplified'!$A$4:$A$38,0)),"")</f>
        <v/>
      </c>
      <c r="BB54" s="57">
        <f t="shared" ca="1" si="133"/>
        <v>6.5870816457045359E-2</v>
      </c>
      <c r="BD54">
        <v>0.02</v>
      </c>
      <c r="BE54">
        <v>52</v>
      </c>
      <c r="BF54">
        <v>0.05</v>
      </c>
      <c r="BG54">
        <f t="shared" si="134"/>
        <v>65</v>
      </c>
      <c r="BH54">
        <f t="shared" si="135"/>
        <v>70</v>
      </c>
      <c r="BI54">
        <f t="shared" si="136"/>
        <v>65</v>
      </c>
      <c r="BJ54">
        <f t="shared" si="137"/>
        <v>66.3</v>
      </c>
      <c r="BK54">
        <f t="shared" si="138"/>
        <v>68</v>
      </c>
      <c r="BL54" t="str">
        <f t="shared" si="139"/>
        <v>⚪ NEUTRAL</v>
      </c>
      <c r="BM54" s="49" t="str">
        <f t="shared" si="140"/>
        <v>✅ BUY</v>
      </c>
    </row>
    <row r="55" spans="1:65" x14ac:dyDescent="0.4">
      <c r="A55" t="s">
        <v>307</v>
      </c>
      <c r="B55" t="s">
        <v>45</v>
      </c>
      <c r="C55" s="1">
        <v>0.18</v>
      </c>
      <c r="D55" s="1">
        <v>0.1</v>
      </c>
      <c r="E55" s="1">
        <v>0.15</v>
      </c>
      <c r="F55" s="1">
        <v>0.1</v>
      </c>
      <c r="G55" s="1">
        <v>0.12</v>
      </c>
      <c r="H55">
        <v>1.2</v>
      </c>
      <c r="I55">
        <v>2.5</v>
      </c>
      <c r="J55">
        <v>1.5</v>
      </c>
      <c r="K55">
        <v>8</v>
      </c>
      <c r="L55">
        <v>0.18</v>
      </c>
      <c r="M55">
        <v>1.1000000000000001</v>
      </c>
      <c r="N55">
        <v>0.04</v>
      </c>
      <c r="O55">
        <v>28</v>
      </c>
      <c r="P55">
        <v>22</v>
      </c>
      <c r="Q55">
        <v>32</v>
      </c>
      <c r="R55">
        <v>8.9999999999999993E-3</v>
      </c>
      <c r="S55">
        <v>0.22</v>
      </c>
      <c r="T55">
        <v>1.4999999999999999E-2</v>
      </c>
      <c r="U55">
        <f t="shared" si="108"/>
        <v>72</v>
      </c>
      <c r="V55">
        <f t="shared" si="109"/>
        <v>55</v>
      </c>
      <c r="W55">
        <f t="shared" si="110"/>
        <v>88</v>
      </c>
      <c r="X55">
        <f t="shared" si="111"/>
        <v>72</v>
      </c>
      <c r="Y55">
        <f t="shared" si="112"/>
        <v>72</v>
      </c>
      <c r="Z55">
        <f t="shared" si="113"/>
        <v>70</v>
      </c>
      <c r="AA55">
        <f t="shared" si="114"/>
        <v>52</v>
      </c>
      <c r="AB55">
        <f t="shared" si="115"/>
        <v>70</v>
      </c>
      <c r="AC55">
        <f t="shared" si="116"/>
        <v>85</v>
      </c>
      <c r="AD55">
        <f t="shared" si="117"/>
        <v>85</v>
      </c>
      <c r="AE55">
        <f t="shared" si="118"/>
        <v>85</v>
      </c>
      <c r="AF55">
        <f t="shared" si="119"/>
        <v>85</v>
      </c>
      <c r="AG55">
        <f t="shared" si="120"/>
        <v>48</v>
      </c>
      <c r="AH55">
        <f t="shared" si="121"/>
        <v>48</v>
      </c>
      <c r="AI55">
        <f t="shared" si="122"/>
        <v>48</v>
      </c>
      <c r="AJ55">
        <f t="shared" si="123"/>
        <v>42</v>
      </c>
      <c r="AK55">
        <f t="shared" si="124"/>
        <v>55</v>
      </c>
      <c r="AL55">
        <f t="shared" si="125"/>
        <v>50</v>
      </c>
      <c r="AM55">
        <f t="shared" si="126"/>
        <v>70.849999999999994</v>
      </c>
      <c r="AN55">
        <f t="shared" si="127"/>
        <v>71.5</v>
      </c>
      <c r="AO55">
        <f t="shared" si="128"/>
        <v>68.95</v>
      </c>
      <c r="AP55">
        <f t="shared" si="129"/>
        <v>85</v>
      </c>
      <c r="AQ55">
        <f t="shared" si="130"/>
        <v>47.999999999999993</v>
      </c>
      <c r="AR55">
        <f t="shared" si="41"/>
        <v>47.400000000000006</v>
      </c>
      <c r="AS55">
        <f t="shared" si="131"/>
        <v>68</v>
      </c>
      <c r="AT55" s="15">
        <v>3</v>
      </c>
      <c r="AU55" s="15">
        <v>3</v>
      </c>
      <c r="AV55" s="15">
        <v>3</v>
      </c>
      <c r="AW55">
        <f t="shared" si="132"/>
        <v>9</v>
      </c>
      <c r="AX55" s="38" t="e" vm="52">
        <v>#VALUE!</v>
      </c>
      <c r="AY55" s="59" cm="1">
        <f t="array" aca="1" ref="AY55" ca="1">_FV(AX55,"PRECIO")</f>
        <v>332.68</v>
      </c>
      <c r="AZ55" s="60">
        <v>316</v>
      </c>
      <c r="BA55" s="55" t="str">
        <f>IFERROR(INDEX('DCF Simplified'!$Y$4:$Y$38,MATCH(A55,'DCF Simplified'!$A$4:$A$38,0)),"")</f>
        <v/>
      </c>
      <c r="BB55" s="57">
        <f t="shared" ca="1" si="133"/>
        <v>-5.0138271011181935E-2</v>
      </c>
      <c r="BD55">
        <v>0.03</v>
      </c>
      <c r="BE55">
        <v>54</v>
      </c>
      <c r="BF55">
        <v>0.08</v>
      </c>
      <c r="BG55">
        <f t="shared" si="134"/>
        <v>65</v>
      </c>
      <c r="BH55">
        <f t="shared" si="135"/>
        <v>70</v>
      </c>
      <c r="BI55">
        <f t="shared" si="136"/>
        <v>65</v>
      </c>
      <c r="BJ55">
        <f t="shared" si="137"/>
        <v>66.3</v>
      </c>
      <c r="BK55">
        <f t="shared" si="138"/>
        <v>67</v>
      </c>
      <c r="BL55" t="str">
        <f t="shared" si="139"/>
        <v>⚪ NEUTRAL</v>
      </c>
      <c r="BM55" s="49" t="str">
        <f t="shared" si="140"/>
        <v>✅ BUY</v>
      </c>
    </row>
    <row r="56" spans="1:65" x14ac:dyDescent="0.4">
      <c r="A56" t="s">
        <v>308</v>
      </c>
      <c r="B56" t="s">
        <v>47</v>
      </c>
      <c r="C56" s="1">
        <v>0.35</v>
      </c>
      <c r="D56" s="1">
        <v>0.28000000000000003</v>
      </c>
      <c r="E56" s="1">
        <v>0.32</v>
      </c>
      <c r="F56" s="1">
        <v>0.15</v>
      </c>
      <c r="G56" s="1">
        <v>0.18</v>
      </c>
      <c r="H56">
        <v>1.1000000000000001</v>
      </c>
      <c r="I56">
        <v>-2</v>
      </c>
      <c r="J56">
        <v>3.5</v>
      </c>
      <c r="K56">
        <v>100</v>
      </c>
      <c r="L56">
        <v>0.25</v>
      </c>
      <c r="M56">
        <v>0.8</v>
      </c>
      <c r="N56">
        <v>0.08</v>
      </c>
      <c r="O56">
        <v>48</v>
      </c>
      <c r="P56">
        <v>35</v>
      </c>
      <c r="Q56">
        <v>55</v>
      </c>
      <c r="R56">
        <v>8.0000000000000002E-3</v>
      </c>
      <c r="S56">
        <v>0.35</v>
      </c>
      <c r="T56">
        <v>0</v>
      </c>
      <c r="U56">
        <f t="shared" si="108"/>
        <v>100</v>
      </c>
      <c r="V56">
        <f t="shared" si="109"/>
        <v>100</v>
      </c>
      <c r="W56">
        <f t="shared" si="110"/>
        <v>100</v>
      </c>
      <c r="X56">
        <f t="shared" si="111"/>
        <v>100</v>
      </c>
      <c r="Y56">
        <f t="shared" si="112"/>
        <v>85</v>
      </c>
      <c r="Z56">
        <f t="shared" si="113"/>
        <v>70</v>
      </c>
      <c r="AA56">
        <f t="shared" si="114"/>
        <v>100</v>
      </c>
      <c r="AB56">
        <f t="shared" si="115"/>
        <v>100</v>
      </c>
      <c r="AC56">
        <f t="shared" si="116"/>
        <v>100</v>
      </c>
      <c r="AD56">
        <f t="shared" si="117"/>
        <v>100</v>
      </c>
      <c r="AE56">
        <f t="shared" si="118"/>
        <v>70</v>
      </c>
      <c r="AF56">
        <f t="shared" si="119"/>
        <v>70</v>
      </c>
      <c r="AG56">
        <f t="shared" si="120"/>
        <v>12</v>
      </c>
      <c r="AH56">
        <f t="shared" si="121"/>
        <v>10</v>
      </c>
      <c r="AI56">
        <f t="shared" si="122"/>
        <v>10</v>
      </c>
      <c r="AJ56">
        <f t="shared" si="123"/>
        <v>42</v>
      </c>
      <c r="AK56">
        <f t="shared" si="124"/>
        <v>100</v>
      </c>
      <c r="AL56">
        <f t="shared" si="125"/>
        <v>10</v>
      </c>
      <c r="AM56">
        <f t="shared" si="126"/>
        <v>100</v>
      </c>
      <c r="AN56">
        <f t="shared" si="127"/>
        <v>87.25</v>
      </c>
      <c r="AO56">
        <f t="shared" si="128"/>
        <v>100</v>
      </c>
      <c r="AP56">
        <f t="shared" si="129"/>
        <v>82</v>
      </c>
      <c r="AQ56">
        <f t="shared" si="130"/>
        <v>10.7</v>
      </c>
      <c r="AR56">
        <f t="shared" si="41"/>
        <v>42.400000000000006</v>
      </c>
      <c r="AS56">
        <f t="shared" si="131"/>
        <v>76</v>
      </c>
      <c r="AT56" s="15">
        <v>4</v>
      </c>
      <c r="AU56" s="15">
        <v>4</v>
      </c>
      <c r="AV56" s="15">
        <v>4</v>
      </c>
      <c r="AW56">
        <f t="shared" si="132"/>
        <v>10</v>
      </c>
      <c r="AX56" s="38" t="e" vm="53">
        <v>#VALUE!</v>
      </c>
      <c r="AY56" s="59" cm="1">
        <f t="array" aca="1" ref="AY56" ca="1">_FV(AX56,"PRECIO")</f>
        <v>1624</v>
      </c>
      <c r="AZ56" s="60">
        <v>1580</v>
      </c>
      <c r="BA56" s="55" t="str">
        <f>IFERROR(INDEX('DCF Simplified'!$Y$4:$Y$38,MATCH(A56,'DCF Simplified'!$A$4:$A$38,0)),"")</f>
        <v/>
      </c>
      <c r="BB56" s="57">
        <f t="shared" ca="1" si="133"/>
        <v>-2.7093596059113302E-2</v>
      </c>
      <c r="BD56">
        <v>-0.02</v>
      </c>
      <c r="BE56">
        <v>48</v>
      </c>
      <c r="BF56">
        <v>-0.05</v>
      </c>
      <c r="BG56">
        <f t="shared" si="134"/>
        <v>45</v>
      </c>
      <c r="BH56">
        <f t="shared" si="135"/>
        <v>70</v>
      </c>
      <c r="BI56">
        <f t="shared" si="136"/>
        <v>45</v>
      </c>
      <c r="BJ56">
        <f t="shared" si="137"/>
        <v>51.3</v>
      </c>
      <c r="BK56">
        <f t="shared" si="138"/>
        <v>61</v>
      </c>
      <c r="BL56" t="str">
        <f t="shared" si="139"/>
        <v>⚪ NEUTRAL</v>
      </c>
      <c r="BM56" s="49" t="str">
        <f t="shared" si="140"/>
        <v>⚠️ HOLD</v>
      </c>
    </row>
    <row r="57" spans="1:65" x14ac:dyDescent="0.4">
      <c r="A57" t="s">
        <v>309</v>
      </c>
      <c r="B57" t="s">
        <v>44</v>
      </c>
      <c r="C57" s="1">
        <v>0.55000000000000004</v>
      </c>
      <c r="D57" s="1">
        <v>0.3</v>
      </c>
      <c r="E57" s="1">
        <v>0.28000000000000003</v>
      </c>
      <c r="F57" s="1">
        <v>0.2</v>
      </c>
      <c r="G57" s="1">
        <v>0.25</v>
      </c>
      <c r="H57">
        <v>1.8</v>
      </c>
      <c r="I57">
        <v>-0.5</v>
      </c>
      <c r="J57">
        <v>1.5</v>
      </c>
      <c r="K57">
        <v>50</v>
      </c>
      <c r="L57">
        <v>0.15</v>
      </c>
      <c r="M57">
        <v>0.55000000000000004</v>
      </c>
      <c r="N57">
        <v>0.06</v>
      </c>
      <c r="O57">
        <v>30</v>
      </c>
      <c r="P57">
        <v>25</v>
      </c>
      <c r="Q57">
        <v>50</v>
      </c>
      <c r="R57">
        <v>8.0000000000000002E-3</v>
      </c>
      <c r="S57">
        <v>0.3</v>
      </c>
      <c r="T57">
        <v>0.02</v>
      </c>
      <c r="U57">
        <f t="shared" si="108"/>
        <v>100</v>
      </c>
      <c r="V57">
        <f t="shared" si="109"/>
        <v>100</v>
      </c>
      <c r="W57">
        <f t="shared" si="110"/>
        <v>100</v>
      </c>
      <c r="X57">
        <f t="shared" si="111"/>
        <v>88</v>
      </c>
      <c r="Y57">
        <f t="shared" si="112"/>
        <v>88</v>
      </c>
      <c r="Z57">
        <f t="shared" si="113"/>
        <v>85</v>
      </c>
      <c r="AA57">
        <f t="shared" si="114"/>
        <v>100</v>
      </c>
      <c r="AB57">
        <f t="shared" si="115"/>
        <v>70</v>
      </c>
      <c r="AC57">
        <f t="shared" si="116"/>
        <v>100</v>
      </c>
      <c r="AD57">
        <f t="shared" si="117"/>
        <v>72</v>
      </c>
      <c r="AE57">
        <f t="shared" si="118"/>
        <v>35</v>
      </c>
      <c r="AF57">
        <f t="shared" si="119"/>
        <v>70</v>
      </c>
      <c r="AG57">
        <f t="shared" si="120"/>
        <v>48</v>
      </c>
      <c r="AH57">
        <f t="shared" si="121"/>
        <v>48</v>
      </c>
      <c r="AI57">
        <f t="shared" si="122"/>
        <v>28</v>
      </c>
      <c r="AJ57">
        <f t="shared" si="123"/>
        <v>42</v>
      </c>
      <c r="AK57">
        <f t="shared" si="124"/>
        <v>85</v>
      </c>
      <c r="AL57">
        <f t="shared" si="125"/>
        <v>68</v>
      </c>
      <c r="AM57">
        <f t="shared" si="126"/>
        <v>100</v>
      </c>
      <c r="AN57">
        <f t="shared" si="127"/>
        <v>87.25</v>
      </c>
      <c r="AO57">
        <f t="shared" si="128"/>
        <v>91</v>
      </c>
      <c r="AP57">
        <f t="shared" si="129"/>
        <v>58.55</v>
      </c>
      <c r="AQ57">
        <f t="shared" si="130"/>
        <v>41.999999999999993</v>
      </c>
      <c r="AR57">
        <f t="shared" si="41"/>
        <v>59.7</v>
      </c>
      <c r="AS57">
        <f t="shared" si="131"/>
        <v>77</v>
      </c>
      <c r="AT57" s="15">
        <v>4</v>
      </c>
      <c r="AU57" s="15">
        <v>3</v>
      </c>
      <c r="AV57" s="15">
        <v>3</v>
      </c>
      <c r="AW57">
        <f t="shared" si="132"/>
        <v>10</v>
      </c>
      <c r="AX57" s="38" t="e" vm="54">
        <v>#VALUE!</v>
      </c>
      <c r="AY57" s="59" cm="1">
        <f t="array" aca="1" ref="AY57" ca="1">_FV(AX57,"PRECIO")</f>
        <v>1145.5999999999999</v>
      </c>
      <c r="AZ57" s="60">
        <v>1000</v>
      </c>
      <c r="BA57" s="55" t="str">
        <f>IFERROR(INDEX('DCF Simplified'!$Y$4:$Y$38,MATCH(A57,'DCF Simplified'!$A$4:$A$38,0)),"")</f>
        <v/>
      </c>
      <c r="BB57" s="57">
        <f t="shared" ca="1" si="133"/>
        <v>-0.12709497206703904</v>
      </c>
      <c r="BD57">
        <v>0</v>
      </c>
      <c r="BE57">
        <v>50</v>
      </c>
      <c r="BF57">
        <v>-0.05</v>
      </c>
      <c r="BG57">
        <f t="shared" si="134"/>
        <v>45</v>
      </c>
      <c r="BH57">
        <f t="shared" si="135"/>
        <v>70</v>
      </c>
      <c r="BI57">
        <f t="shared" si="136"/>
        <v>45</v>
      </c>
      <c r="BJ57">
        <f t="shared" si="137"/>
        <v>51.3</v>
      </c>
      <c r="BK57">
        <f t="shared" si="138"/>
        <v>67</v>
      </c>
      <c r="BL57" t="str">
        <f t="shared" si="139"/>
        <v>⚪ NEUTRAL</v>
      </c>
      <c r="BM57" s="49" t="str">
        <f t="shared" si="140"/>
        <v>⚠️ HOLD</v>
      </c>
    </row>
    <row r="58" spans="1:65" x14ac:dyDescent="0.4">
      <c r="A58" t="s">
        <v>310</v>
      </c>
      <c r="B58" t="s">
        <v>0</v>
      </c>
      <c r="C58" s="1">
        <v>0.16</v>
      </c>
      <c r="D58" s="1">
        <v>0.08</v>
      </c>
      <c r="E58" s="1">
        <v>0.08</v>
      </c>
      <c r="F58" s="1">
        <v>0.08</v>
      </c>
      <c r="G58" s="1">
        <v>0.1</v>
      </c>
      <c r="H58">
        <v>1</v>
      </c>
      <c r="I58">
        <v>2.5</v>
      </c>
      <c r="J58">
        <v>0.85</v>
      </c>
      <c r="K58">
        <v>6</v>
      </c>
      <c r="L58">
        <v>0.06</v>
      </c>
      <c r="M58">
        <v>0.75</v>
      </c>
      <c r="N58">
        <v>0.06</v>
      </c>
      <c r="O58">
        <v>14</v>
      </c>
      <c r="P58">
        <v>8</v>
      </c>
      <c r="Q58">
        <v>18</v>
      </c>
      <c r="R58">
        <v>3.5000000000000003E-2</v>
      </c>
      <c r="S58">
        <v>0.55000000000000004</v>
      </c>
      <c r="T58">
        <v>0.01</v>
      </c>
      <c r="U58">
        <f t="shared" si="108"/>
        <v>88</v>
      </c>
      <c r="V58">
        <f t="shared" si="109"/>
        <v>52</v>
      </c>
      <c r="W58">
        <f t="shared" si="110"/>
        <v>85</v>
      </c>
      <c r="X58">
        <f t="shared" si="111"/>
        <v>85</v>
      </c>
      <c r="Y58">
        <f t="shared" si="112"/>
        <v>85</v>
      </c>
      <c r="Z58">
        <f t="shared" si="113"/>
        <v>50</v>
      </c>
      <c r="AA58">
        <f t="shared" si="114"/>
        <v>50</v>
      </c>
      <c r="AB58">
        <f t="shared" si="115"/>
        <v>30</v>
      </c>
      <c r="AC58">
        <f t="shared" si="116"/>
        <v>82</v>
      </c>
      <c r="AD58">
        <f t="shared" si="117"/>
        <v>65</v>
      </c>
      <c r="AE58">
        <f t="shared" si="118"/>
        <v>68</v>
      </c>
      <c r="AF58">
        <f t="shared" si="119"/>
        <v>82</v>
      </c>
      <c r="AG58">
        <f t="shared" si="120"/>
        <v>82</v>
      </c>
      <c r="AH58">
        <f t="shared" si="121"/>
        <v>100</v>
      </c>
      <c r="AI58">
        <f t="shared" si="122"/>
        <v>82</v>
      </c>
      <c r="AJ58">
        <f t="shared" si="123"/>
        <v>100</v>
      </c>
      <c r="AK58">
        <f t="shared" si="124"/>
        <v>100</v>
      </c>
      <c r="AL58">
        <f t="shared" si="125"/>
        <v>48</v>
      </c>
      <c r="AM58">
        <f t="shared" si="126"/>
        <v>74.5</v>
      </c>
      <c r="AN58">
        <f t="shared" si="127"/>
        <v>76.25</v>
      </c>
      <c r="AO58">
        <f t="shared" si="128"/>
        <v>55.2</v>
      </c>
      <c r="AP58">
        <f t="shared" si="129"/>
        <v>70.3</v>
      </c>
      <c r="AQ58">
        <f t="shared" si="130"/>
        <v>88.3</v>
      </c>
      <c r="AR58">
        <f t="shared" si="41"/>
        <v>81.8</v>
      </c>
      <c r="AS58">
        <f t="shared" si="131"/>
        <v>72</v>
      </c>
      <c r="AT58" s="15">
        <v>3</v>
      </c>
      <c r="AU58" s="15">
        <v>3</v>
      </c>
      <c r="AV58" s="15">
        <v>3</v>
      </c>
      <c r="AW58">
        <f t="shared" si="132"/>
        <v>9</v>
      </c>
      <c r="AX58" s="38" t="e" vm="55">
        <v>#VALUE!</v>
      </c>
      <c r="AY58" s="59" cm="1">
        <f t="array" aca="1" ref="AY58" ca="1">_FV(AX58,"PRECIO")</f>
        <v>125.6</v>
      </c>
      <c r="AZ58" s="60">
        <v>133</v>
      </c>
      <c r="BA58" s="55" t="str">
        <f>IFERROR(INDEX('DCF Simplified'!$Y$4:$Y$38,MATCH(A58,'DCF Simplified'!$A$4:$A$38,0)),"")</f>
        <v/>
      </c>
      <c r="BB58" s="57">
        <f t="shared" ca="1" si="133"/>
        <v>5.8917197452229349E-2</v>
      </c>
      <c r="BD58">
        <v>0</v>
      </c>
      <c r="BE58">
        <v>50</v>
      </c>
      <c r="BF58">
        <v>0</v>
      </c>
      <c r="BG58">
        <f t="shared" si="134"/>
        <v>45</v>
      </c>
      <c r="BH58">
        <f t="shared" si="135"/>
        <v>70</v>
      </c>
      <c r="BI58">
        <f t="shared" si="136"/>
        <v>45</v>
      </c>
      <c r="BJ58">
        <f t="shared" si="137"/>
        <v>51.3</v>
      </c>
      <c r="BK58">
        <f t="shared" si="138"/>
        <v>73</v>
      </c>
      <c r="BL58" t="str">
        <f t="shared" si="139"/>
        <v>🟡 FAVORABLE</v>
      </c>
      <c r="BM58" s="49" t="str">
        <f t="shared" si="140"/>
        <v>⚠️ HOLD</v>
      </c>
    </row>
    <row r="59" spans="1:65" x14ac:dyDescent="0.4">
      <c r="A59" t="s">
        <v>311</v>
      </c>
      <c r="B59" t="s">
        <v>0</v>
      </c>
      <c r="C59" s="1">
        <v>0.08</v>
      </c>
      <c r="D59" s="1">
        <v>0.04</v>
      </c>
      <c r="E59" s="1">
        <v>0.1</v>
      </c>
      <c r="F59" s="1">
        <v>0.06</v>
      </c>
      <c r="G59" s="1">
        <v>0.08</v>
      </c>
      <c r="H59">
        <v>0.9</v>
      </c>
      <c r="I59">
        <v>3.5</v>
      </c>
      <c r="J59">
        <v>1.2</v>
      </c>
      <c r="K59">
        <v>4</v>
      </c>
      <c r="L59">
        <v>0.05</v>
      </c>
      <c r="M59">
        <v>0.65</v>
      </c>
      <c r="N59">
        <v>0.1</v>
      </c>
      <c r="O59">
        <v>35</v>
      </c>
      <c r="P59">
        <v>20</v>
      </c>
      <c r="Q59">
        <v>40</v>
      </c>
      <c r="R59">
        <v>1.4999999999999999E-2</v>
      </c>
      <c r="S59">
        <v>0.5</v>
      </c>
      <c r="T59">
        <v>0.01</v>
      </c>
      <c r="U59">
        <f t="shared" si="108"/>
        <v>55</v>
      </c>
      <c r="V59">
        <f t="shared" si="109"/>
        <v>32</v>
      </c>
      <c r="W59">
        <f t="shared" si="110"/>
        <v>85</v>
      </c>
      <c r="X59">
        <f t="shared" si="111"/>
        <v>68</v>
      </c>
      <c r="Y59">
        <f t="shared" si="112"/>
        <v>68</v>
      </c>
      <c r="Z59">
        <f t="shared" si="113"/>
        <v>50</v>
      </c>
      <c r="AA59">
        <f t="shared" si="114"/>
        <v>30</v>
      </c>
      <c r="AB59">
        <f t="shared" si="115"/>
        <v>68</v>
      </c>
      <c r="AC59">
        <f t="shared" si="116"/>
        <v>65</v>
      </c>
      <c r="AD59">
        <f t="shared" si="117"/>
        <v>65</v>
      </c>
      <c r="AE59">
        <f t="shared" si="118"/>
        <v>50</v>
      </c>
      <c r="AF59">
        <f t="shared" si="119"/>
        <v>65</v>
      </c>
      <c r="AG59">
        <f t="shared" si="120"/>
        <v>10</v>
      </c>
      <c r="AH59">
        <f t="shared" si="121"/>
        <v>28</v>
      </c>
      <c r="AI59">
        <f t="shared" si="122"/>
        <v>28</v>
      </c>
      <c r="AJ59">
        <f t="shared" si="123"/>
        <v>65</v>
      </c>
      <c r="AK59">
        <f t="shared" si="124"/>
        <v>100</v>
      </c>
      <c r="AL59">
        <f t="shared" si="125"/>
        <v>48</v>
      </c>
      <c r="AM59">
        <f t="shared" si="126"/>
        <v>55.95</v>
      </c>
      <c r="AN59">
        <f t="shared" si="127"/>
        <v>63.5</v>
      </c>
      <c r="AO59">
        <f t="shared" si="128"/>
        <v>53.65</v>
      </c>
      <c r="AP59">
        <f t="shared" si="129"/>
        <v>59.75</v>
      </c>
      <c r="AQ59">
        <f t="shared" si="130"/>
        <v>21.7</v>
      </c>
      <c r="AR59">
        <f t="shared" si="41"/>
        <v>66.05</v>
      </c>
      <c r="AS59">
        <f t="shared" si="131"/>
        <v>53</v>
      </c>
      <c r="AT59" s="15">
        <v>2</v>
      </c>
      <c r="AU59" s="15">
        <v>2</v>
      </c>
      <c r="AV59" s="15">
        <v>2</v>
      </c>
      <c r="AW59">
        <f t="shared" si="132"/>
        <v>6</v>
      </c>
      <c r="AX59" s="38" t="e" vm="56">
        <v>#VALUE!</v>
      </c>
      <c r="AY59" s="59" cm="1">
        <f t="array" aca="1" ref="AY59" ca="1">_FV(AX59,"PRECIO")</f>
        <v>62.89</v>
      </c>
      <c r="AZ59" s="60">
        <v>60</v>
      </c>
      <c r="BA59" s="55" t="str">
        <f>IFERROR(INDEX('DCF Simplified'!$Y$4:$Y$38,MATCH(A59,'DCF Simplified'!$A$4:$A$38,0)),"")</f>
        <v/>
      </c>
      <c r="BB59" s="57">
        <f t="shared" ca="1" si="133"/>
        <v>-4.5953251709333766E-2</v>
      </c>
      <c r="BD59">
        <v>0.02</v>
      </c>
      <c r="BE59">
        <v>52</v>
      </c>
      <c r="BF59">
        <v>0.05</v>
      </c>
      <c r="BG59">
        <f t="shared" si="134"/>
        <v>65</v>
      </c>
      <c r="BH59">
        <f t="shared" si="135"/>
        <v>70</v>
      </c>
      <c r="BI59">
        <f t="shared" si="136"/>
        <v>65</v>
      </c>
      <c r="BJ59">
        <f t="shared" si="137"/>
        <v>66.3</v>
      </c>
      <c r="BK59">
        <f t="shared" si="138"/>
        <v>51</v>
      </c>
      <c r="BL59" t="str">
        <f t="shared" si="139"/>
        <v>🟠 WEAK</v>
      </c>
      <c r="BM59" s="49" t="str">
        <f t="shared" si="140"/>
        <v>🟠 UNDERWEIGHT</v>
      </c>
    </row>
    <row r="60" spans="1:65" x14ac:dyDescent="0.4">
      <c r="A60" t="s">
        <v>312</v>
      </c>
      <c r="B60" t="s">
        <v>47</v>
      </c>
      <c r="C60" s="1">
        <v>0.05</v>
      </c>
      <c r="D60" s="1">
        <v>0.06</v>
      </c>
      <c r="E60" s="1">
        <v>0.04</v>
      </c>
      <c r="F60" s="1">
        <v>0.2</v>
      </c>
      <c r="G60" s="1">
        <v>-0.15</v>
      </c>
      <c r="H60">
        <v>2.5</v>
      </c>
      <c r="I60">
        <v>-1</v>
      </c>
      <c r="J60">
        <v>2.16</v>
      </c>
      <c r="K60">
        <v>15</v>
      </c>
      <c r="L60">
        <v>6.5000000000000002E-2</v>
      </c>
      <c r="M60">
        <v>1.6</v>
      </c>
      <c r="N60">
        <v>0.09</v>
      </c>
      <c r="O60">
        <v>194</v>
      </c>
      <c r="P60">
        <v>141</v>
      </c>
      <c r="Q60">
        <v>238</v>
      </c>
      <c r="R60">
        <v>0</v>
      </c>
      <c r="S60">
        <v>0</v>
      </c>
      <c r="T60">
        <v>0</v>
      </c>
      <c r="U60">
        <f t="shared" si="108"/>
        <v>35</v>
      </c>
      <c r="V60">
        <f t="shared" si="109"/>
        <v>35</v>
      </c>
      <c r="W60">
        <f t="shared" si="110"/>
        <v>50</v>
      </c>
      <c r="X60">
        <f t="shared" si="111"/>
        <v>100</v>
      </c>
      <c r="Y60">
        <f t="shared" si="112"/>
        <v>0</v>
      </c>
      <c r="Z60">
        <f t="shared" si="113"/>
        <v>100</v>
      </c>
      <c r="AA60">
        <f t="shared" si="114"/>
        <v>100</v>
      </c>
      <c r="AB60">
        <f t="shared" si="115"/>
        <v>100</v>
      </c>
      <c r="AC60">
        <f t="shared" si="116"/>
        <v>100</v>
      </c>
      <c r="AD60">
        <f t="shared" si="117"/>
        <v>68</v>
      </c>
      <c r="AE60">
        <f t="shared" si="118"/>
        <v>100</v>
      </c>
      <c r="AF60">
        <f t="shared" si="119"/>
        <v>70</v>
      </c>
      <c r="AG60">
        <f t="shared" si="120"/>
        <v>0</v>
      </c>
      <c r="AH60">
        <f t="shared" si="121"/>
        <v>0</v>
      </c>
      <c r="AI60">
        <f t="shared" si="122"/>
        <v>0</v>
      </c>
      <c r="AJ60">
        <f t="shared" si="123"/>
        <v>5</v>
      </c>
      <c r="AK60">
        <f t="shared" si="124"/>
        <v>0</v>
      </c>
      <c r="AL60">
        <f t="shared" si="125"/>
        <v>10</v>
      </c>
      <c r="AM60">
        <f t="shared" si="126"/>
        <v>39.5</v>
      </c>
      <c r="AN60">
        <f t="shared" si="127"/>
        <v>65</v>
      </c>
      <c r="AO60">
        <f t="shared" si="128"/>
        <v>100</v>
      </c>
      <c r="AP60">
        <f t="shared" si="129"/>
        <v>79.7</v>
      </c>
      <c r="AQ60">
        <f t="shared" si="130"/>
        <v>0</v>
      </c>
      <c r="AR60">
        <f t="shared" si="41"/>
        <v>5.75</v>
      </c>
      <c r="AS60">
        <f t="shared" si="131"/>
        <v>50</v>
      </c>
      <c r="AT60" s="15">
        <v>1</v>
      </c>
      <c r="AU60" s="15">
        <v>1</v>
      </c>
      <c r="AV60" s="15">
        <v>2</v>
      </c>
      <c r="AW60">
        <f t="shared" si="132"/>
        <v>4</v>
      </c>
      <c r="AX60" s="38" t="e" vm="57">
        <v>#VALUE!</v>
      </c>
      <c r="AY60" s="59" cm="1">
        <f t="array" aca="1" ref="AY60" ca="1">_FV(AX60,"PRECIO")</f>
        <v>372.11</v>
      </c>
      <c r="AZ60" s="60">
        <v>400</v>
      </c>
      <c r="BA60" s="55" t="str">
        <f>IFERROR(INDEX('DCF Simplified'!$Y$4:$Y$38,MATCH(A60,'DCF Simplified'!$A$4:$A$38,0)),"")</f>
        <v/>
      </c>
      <c r="BB60" s="57">
        <f t="shared" ca="1" si="133"/>
        <v>7.4950955362661539E-2</v>
      </c>
      <c r="BD60">
        <v>0.2</v>
      </c>
      <c r="BE60">
        <v>55</v>
      </c>
      <c r="BF60">
        <v>0.3</v>
      </c>
      <c r="BG60">
        <f t="shared" si="134"/>
        <v>100</v>
      </c>
      <c r="BH60">
        <f t="shared" si="135"/>
        <v>70</v>
      </c>
      <c r="BI60">
        <f t="shared" si="136"/>
        <v>100</v>
      </c>
      <c r="BJ60">
        <f t="shared" si="137"/>
        <v>92.5</v>
      </c>
      <c r="BK60">
        <f t="shared" si="138"/>
        <v>52</v>
      </c>
      <c r="BL60" t="str">
        <f t="shared" si="139"/>
        <v>🟠 WEAK</v>
      </c>
      <c r="BM60" s="49" t="str">
        <f t="shared" si="140"/>
        <v>🟠 UNDERWEIGHT</v>
      </c>
    </row>
    <row r="61" spans="1:65" x14ac:dyDescent="0.4">
      <c r="A61" t="s">
        <v>313</v>
      </c>
      <c r="B61" t="s">
        <v>45</v>
      </c>
      <c r="C61" s="1">
        <v>0.15</v>
      </c>
      <c r="D61" s="1">
        <v>0.12</v>
      </c>
      <c r="E61" s="1">
        <v>0.28000000000000003</v>
      </c>
      <c r="F61" s="1">
        <v>0.18</v>
      </c>
      <c r="G61" s="1">
        <v>0.25</v>
      </c>
      <c r="H61">
        <v>1.5</v>
      </c>
      <c r="I61">
        <v>-3</v>
      </c>
      <c r="J61">
        <v>5</v>
      </c>
      <c r="K61">
        <v>100</v>
      </c>
      <c r="L61">
        <v>0.25</v>
      </c>
      <c r="M61">
        <v>0.9</v>
      </c>
      <c r="N61">
        <v>0.06</v>
      </c>
      <c r="O61">
        <v>55</v>
      </c>
      <c r="P61">
        <v>45</v>
      </c>
      <c r="Q61">
        <v>65</v>
      </c>
      <c r="R61">
        <v>0</v>
      </c>
      <c r="S61">
        <v>0</v>
      </c>
      <c r="T61">
        <v>0</v>
      </c>
      <c r="U61">
        <f t="shared" si="108"/>
        <v>72</v>
      </c>
      <c r="V61">
        <f t="shared" si="109"/>
        <v>72</v>
      </c>
      <c r="W61">
        <f t="shared" si="110"/>
        <v>100</v>
      </c>
      <c r="X61">
        <f t="shared" si="111"/>
        <v>88</v>
      </c>
      <c r="Y61">
        <f t="shared" si="112"/>
        <v>100</v>
      </c>
      <c r="Z61">
        <f t="shared" si="113"/>
        <v>85</v>
      </c>
      <c r="AA61">
        <f t="shared" si="114"/>
        <v>100</v>
      </c>
      <c r="AB61">
        <f t="shared" si="115"/>
        <v>100</v>
      </c>
      <c r="AC61">
        <f t="shared" si="116"/>
        <v>100</v>
      </c>
      <c r="AD61">
        <f t="shared" si="117"/>
        <v>100</v>
      </c>
      <c r="AE61">
        <f t="shared" si="118"/>
        <v>70</v>
      </c>
      <c r="AF61">
        <f t="shared" si="119"/>
        <v>85</v>
      </c>
      <c r="AG61">
        <f t="shared" si="120"/>
        <v>12</v>
      </c>
      <c r="AH61">
        <f t="shared" si="121"/>
        <v>12</v>
      </c>
      <c r="AI61">
        <f t="shared" si="122"/>
        <v>10</v>
      </c>
      <c r="AJ61">
        <f t="shared" si="123"/>
        <v>5</v>
      </c>
      <c r="AK61">
        <f t="shared" si="124"/>
        <v>0</v>
      </c>
      <c r="AL61">
        <f t="shared" si="125"/>
        <v>10</v>
      </c>
      <c r="AM61">
        <f t="shared" si="126"/>
        <v>80.400000000000006</v>
      </c>
      <c r="AN61">
        <f t="shared" si="127"/>
        <v>91.45</v>
      </c>
      <c r="AO61">
        <f t="shared" si="128"/>
        <v>100</v>
      </c>
      <c r="AP61">
        <f t="shared" si="129"/>
        <v>85.75</v>
      </c>
      <c r="AQ61">
        <f t="shared" si="130"/>
        <v>11.399999999999999</v>
      </c>
      <c r="AR61">
        <f t="shared" si="41"/>
        <v>5.75</v>
      </c>
      <c r="AS61">
        <f t="shared" si="131"/>
        <v>73</v>
      </c>
      <c r="AT61" s="15">
        <v>3</v>
      </c>
      <c r="AU61" s="15">
        <v>3</v>
      </c>
      <c r="AV61" s="15">
        <v>3</v>
      </c>
      <c r="AW61">
        <f t="shared" si="132"/>
        <v>9</v>
      </c>
      <c r="AX61" s="38" t="e" vm="58">
        <v>#VALUE!</v>
      </c>
      <c r="AY61" s="59" cm="1">
        <f t="array" aca="1" ref="AY61" ca="1">_FV(AX61,"PRECIO")</f>
        <v>468.55</v>
      </c>
      <c r="AZ61" s="60">
        <v>378</v>
      </c>
      <c r="BA61" s="55" t="str">
        <f>IFERROR(INDEX('DCF Simplified'!$Y$4:$Y$38,MATCH(A61,'DCF Simplified'!$A$4:$A$38,0)),"")</f>
        <v/>
      </c>
      <c r="BB61" s="57">
        <f t="shared" ca="1" si="133"/>
        <v>-0.19325578913669833</v>
      </c>
      <c r="BD61">
        <v>0.05</v>
      </c>
      <c r="BE61">
        <v>55</v>
      </c>
      <c r="BF61">
        <v>0.1</v>
      </c>
      <c r="BG61">
        <f t="shared" si="134"/>
        <v>65</v>
      </c>
      <c r="BH61">
        <f t="shared" si="135"/>
        <v>70</v>
      </c>
      <c r="BI61">
        <f t="shared" si="136"/>
        <v>65</v>
      </c>
      <c r="BJ61">
        <f t="shared" si="137"/>
        <v>66.3</v>
      </c>
      <c r="BK61">
        <f t="shared" si="138"/>
        <v>62</v>
      </c>
      <c r="BL61" t="str">
        <f t="shared" si="139"/>
        <v>⚪ NEUTRAL</v>
      </c>
      <c r="BM61" s="49" t="str">
        <f t="shared" si="140"/>
        <v>⚠️ HOLD</v>
      </c>
    </row>
    <row r="62" spans="1:65" x14ac:dyDescent="0.4">
      <c r="A62" t="s">
        <v>314</v>
      </c>
      <c r="B62" t="s">
        <v>45</v>
      </c>
      <c r="C62" s="1">
        <v>0.65</v>
      </c>
      <c r="D62" s="1">
        <v>0.25</v>
      </c>
      <c r="E62" s="1">
        <v>0.22</v>
      </c>
      <c r="F62" s="1">
        <v>0.1</v>
      </c>
      <c r="G62" s="1">
        <v>0.12</v>
      </c>
      <c r="H62">
        <v>1.3</v>
      </c>
      <c r="I62">
        <v>1.5</v>
      </c>
      <c r="J62">
        <v>1.2</v>
      </c>
      <c r="K62">
        <v>15</v>
      </c>
      <c r="L62">
        <v>0.2</v>
      </c>
      <c r="M62">
        <v>0.9</v>
      </c>
      <c r="N62">
        <v>0.06</v>
      </c>
      <c r="O62">
        <v>45</v>
      </c>
      <c r="P62">
        <v>35</v>
      </c>
      <c r="Q62">
        <v>50</v>
      </c>
      <c r="R62">
        <v>0</v>
      </c>
      <c r="S62">
        <v>0</v>
      </c>
      <c r="T62">
        <v>0.02</v>
      </c>
      <c r="U62">
        <f t="shared" si="108"/>
        <v>100</v>
      </c>
      <c r="V62">
        <f t="shared" si="109"/>
        <v>100</v>
      </c>
      <c r="W62">
        <f t="shared" si="110"/>
        <v>100</v>
      </c>
      <c r="X62">
        <f t="shared" si="111"/>
        <v>72</v>
      </c>
      <c r="Y62">
        <f t="shared" si="112"/>
        <v>72</v>
      </c>
      <c r="Z62">
        <f t="shared" si="113"/>
        <v>70</v>
      </c>
      <c r="AA62">
        <f t="shared" si="114"/>
        <v>70</v>
      </c>
      <c r="AB62">
        <f t="shared" si="115"/>
        <v>52</v>
      </c>
      <c r="AC62">
        <f t="shared" si="116"/>
        <v>100</v>
      </c>
      <c r="AD62">
        <f t="shared" si="117"/>
        <v>100</v>
      </c>
      <c r="AE62">
        <f t="shared" si="118"/>
        <v>70</v>
      </c>
      <c r="AF62">
        <f t="shared" si="119"/>
        <v>85</v>
      </c>
      <c r="AG62">
        <f t="shared" si="120"/>
        <v>12</v>
      </c>
      <c r="AH62">
        <f t="shared" si="121"/>
        <v>12</v>
      </c>
      <c r="AI62">
        <f t="shared" si="122"/>
        <v>28</v>
      </c>
      <c r="AJ62">
        <f t="shared" si="123"/>
        <v>5</v>
      </c>
      <c r="AK62">
        <f t="shared" si="124"/>
        <v>0</v>
      </c>
      <c r="AL62">
        <f t="shared" si="125"/>
        <v>68</v>
      </c>
      <c r="AM62">
        <f t="shared" si="126"/>
        <v>100</v>
      </c>
      <c r="AN62">
        <f t="shared" si="127"/>
        <v>71.5</v>
      </c>
      <c r="AO62">
        <f t="shared" si="128"/>
        <v>75.099999999999994</v>
      </c>
      <c r="AP62">
        <f t="shared" si="129"/>
        <v>85.75</v>
      </c>
      <c r="AQ62">
        <f t="shared" si="130"/>
        <v>16.799999999999997</v>
      </c>
      <c r="AR62">
        <f t="shared" si="41"/>
        <v>26.049999999999997</v>
      </c>
      <c r="AS62">
        <f t="shared" si="131"/>
        <v>71</v>
      </c>
      <c r="AT62" s="15">
        <v>3</v>
      </c>
      <c r="AU62" s="15">
        <v>3</v>
      </c>
      <c r="AV62" s="15">
        <v>3</v>
      </c>
      <c r="AW62">
        <f t="shared" si="132"/>
        <v>9</v>
      </c>
      <c r="AX62" s="38" t="e" vm="59">
        <v>#VALUE!</v>
      </c>
      <c r="AY62" s="59" cm="1">
        <f t="array" aca="1" ref="AY62" ca="1">_FV(AX62,"PRECIO")</f>
        <v>573.29</v>
      </c>
      <c r="AZ62" s="60">
        <v>470</v>
      </c>
      <c r="BA62" s="55" t="str">
        <f>IFERROR(INDEX('DCF Simplified'!$Y$4:$Y$38,MATCH(A62,'DCF Simplified'!$A$4:$A$38,0)),"")</f>
        <v/>
      </c>
      <c r="BB62" s="57">
        <f t="shared" ca="1" si="133"/>
        <v>-0.1801705942891032</v>
      </c>
      <c r="BD62">
        <v>-0.03</v>
      </c>
      <c r="BE62">
        <v>48</v>
      </c>
      <c r="BF62">
        <v>-0.05</v>
      </c>
      <c r="BG62">
        <f t="shared" si="134"/>
        <v>45</v>
      </c>
      <c r="BH62">
        <f t="shared" si="135"/>
        <v>70</v>
      </c>
      <c r="BI62">
        <f t="shared" si="136"/>
        <v>45</v>
      </c>
      <c r="BJ62">
        <f t="shared" si="137"/>
        <v>51.3</v>
      </c>
      <c r="BK62">
        <f t="shared" si="138"/>
        <v>58</v>
      </c>
      <c r="BL62" t="str">
        <f t="shared" si="139"/>
        <v>⚪ NEUTRAL</v>
      </c>
      <c r="BM62" s="49" t="str">
        <f t="shared" si="140"/>
        <v>⚠️ HOLD</v>
      </c>
    </row>
    <row r="63" spans="1:65" x14ac:dyDescent="0.4">
      <c r="A63" t="s">
        <v>315</v>
      </c>
      <c r="B63" t="s">
        <v>48</v>
      </c>
      <c r="C63" s="1">
        <v>-0.3</v>
      </c>
      <c r="D63" s="1">
        <v>-0.15</v>
      </c>
      <c r="E63" s="1">
        <v>-2</v>
      </c>
      <c r="F63" s="1">
        <v>0.5</v>
      </c>
      <c r="G63" s="1">
        <v>0</v>
      </c>
      <c r="H63">
        <v>3</v>
      </c>
      <c r="I63">
        <v>15</v>
      </c>
      <c r="J63">
        <v>2.5</v>
      </c>
      <c r="K63">
        <v>-5</v>
      </c>
      <c r="L63">
        <v>-3</v>
      </c>
      <c r="M63">
        <v>0.5</v>
      </c>
      <c r="N63">
        <v>5</v>
      </c>
      <c r="O63">
        <v>-50</v>
      </c>
      <c r="P63">
        <v>-80</v>
      </c>
      <c r="Q63">
        <v>-20</v>
      </c>
      <c r="R63">
        <v>0</v>
      </c>
      <c r="S63">
        <v>0</v>
      </c>
      <c r="T63">
        <v>0</v>
      </c>
      <c r="U63">
        <f t="shared" si="108"/>
        <v>0</v>
      </c>
      <c r="V63">
        <f t="shared" si="109"/>
        <v>0</v>
      </c>
      <c r="W63">
        <f t="shared" si="110"/>
        <v>0</v>
      </c>
      <c r="X63">
        <f t="shared" si="111"/>
        <v>100</v>
      </c>
      <c r="Y63">
        <f t="shared" si="112"/>
        <v>30</v>
      </c>
      <c r="Z63">
        <f t="shared" si="113"/>
        <v>100</v>
      </c>
      <c r="AA63">
        <f t="shared" si="114"/>
        <v>0</v>
      </c>
      <c r="AB63">
        <f t="shared" si="115"/>
        <v>100</v>
      </c>
      <c r="AC63">
        <f t="shared" si="116"/>
        <v>0</v>
      </c>
      <c r="AD63">
        <f t="shared" si="117"/>
        <v>0</v>
      </c>
      <c r="AE63">
        <f t="shared" si="118"/>
        <v>32</v>
      </c>
      <c r="AF63">
        <f t="shared" si="119"/>
        <v>0</v>
      </c>
      <c r="AG63">
        <f t="shared" si="120"/>
        <v>100</v>
      </c>
      <c r="AH63">
        <f t="shared" si="121"/>
        <v>100</v>
      </c>
      <c r="AI63">
        <f t="shared" si="122"/>
        <v>100</v>
      </c>
      <c r="AJ63">
        <f t="shared" si="123"/>
        <v>5</v>
      </c>
      <c r="AK63">
        <f t="shared" si="124"/>
        <v>0</v>
      </c>
      <c r="AL63">
        <f t="shared" si="125"/>
        <v>10</v>
      </c>
      <c r="AM63">
        <f t="shared" si="126"/>
        <v>0</v>
      </c>
      <c r="AN63">
        <f t="shared" si="127"/>
        <v>75.5</v>
      </c>
      <c r="AO63">
        <f t="shared" si="128"/>
        <v>30</v>
      </c>
      <c r="AP63">
        <f t="shared" si="129"/>
        <v>11.2</v>
      </c>
      <c r="AQ63">
        <f t="shared" si="130"/>
        <v>100</v>
      </c>
      <c r="AR63">
        <f t="shared" si="41"/>
        <v>5.75</v>
      </c>
      <c r="AS63">
        <f t="shared" si="131"/>
        <v>37</v>
      </c>
      <c r="AT63" s="15">
        <v>-5</v>
      </c>
      <c r="AU63" s="15">
        <v>-5</v>
      </c>
      <c r="AV63" s="15">
        <v>-5</v>
      </c>
      <c r="AW63">
        <f t="shared" si="132"/>
        <v>-10</v>
      </c>
      <c r="AX63" s="38" t="e" vm="60">
        <v>#VALUE!</v>
      </c>
      <c r="AY63" s="59" cm="1">
        <f t="array" aca="1" ref="AY63" ca="1">_FV(AX63,"PRECIO")</f>
        <v>87.86</v>
      </c>
      <c r="AZ63" s="60">
        <v>80</v>
      </c>
      <c r="BA63" s="55" t="str">
        <f>IFERROR(INDEX('DCF Simplified'!$Y$4:$Y$38,MATCH(A63,'DCF Simplified'!$A$4:$A$38,0)),"")</f>
        <v/>
      </c>
      <c r="BB63" s="57">
        <f t="shared" ca="1" si="133"/>
        <v>-8.9460505349419531E-2</v>
      </c>
      <c r="BD63">
        <v>0.15</v>
      </c>
      <c r="BE63">
        <v>55</v>
      </c>
      <c r="BF63">
        <v>0.25</v>
      </c>
      <c r="BG63">
        <f t="shared" si="134"/>
        <v>100</v>
      </c>
      <c r="BH63">
        <f t="shared" si="135"/>
        <v>70</v>
      </c>
      <c r="BI63">
        <f t="shared" si="136"/>
        <v>100</v>
      </c>
      <c r="BJ63">
        <f t="shared" si="137"/>
        <v>92.5</v>
      </c>
      <c r="BK63">
        <f t="shared" si="138"/>
        <v>56</v>
      </c>
      <c r="BL63" t="str">
        <f t="shared" si="139"/>
        <v>⚪ NEUTRAL</v>
      </c>
      <c r="BM63" s="49" t="str">
        <f t="shared" si="140"/>
        <v>⚠️ HOLD</v>
      </c>
    </row>
    <row r="64" spans="1:65" x14ac:dyDescent="0.4">
      <c r="A64" t="s">
        <v>316</v>
      </c>
      <c r="B64" t="s">
        <v>44</v>
      </c>
      <c r="C64" s="1">
        <v>0.1</v>
      </c>
      <c r="D64" s="1">
        <v>0.08</v>
      </c>
      <c r="E64" s="1">
        <v>0.16</v>
      </c>
      <c r="F64" s="1">
        <v>0.35</v>
      </c>
      <c r="G64" s="1">
        <v>0.8</v>
      </c>
      <c r="H64">
        <v>2.5</v>
      </c>
      <c r="I64">
        <v>-3</v>
      </c>
      <c r="J64">
        <v>5.5</v>
      </c>
      <c r="K64">
        <v>100</v>
      </c>
      <c r="L64">
        <v>0.35</v>
      </c>
      <c r="M64">
        <v>2.2000000000000002</v>
      </c>
      <c r="N64">
        <v>0.02</v>
      </c>
      <c r="O64">
        <v>120</v>
      </c>
      <c r="P64">
        <v>100</v>
      </c>
      <c r="Q64">
        <v>100</v>
      </c>
      <c r="R64">
        <v>0</v>
      </c>
      <c r="S64">
        <v>0</v>
      </c>
      <c r="T64">
        <v>0</v>
      </c>
      <c r="U64">
        <f t="shared" si="108"/>
        <v>55</v>
      </c>
      <c r="V64">
        <f t="shared" si="109"/>
        <v>35</v>
      </c>
      <c r="W64">
        <f t="shared" si="110"/>
        <v>72</v>
      </c>
      <c r="X64">
        <f t="shared" si="111"/>
        <v>100</v>
      </c>
      <c r="Y64">
        <f t="shared" si="112"/>
        <v>100</v>
      </c>
      <c r="Z64">
        <f t="shared" si="113"/>
        <v>100</v>
      </c>
      <c r="AA64">
        <f t="shared" si="114"/>
        <v>100</v>
      </c>
      <c r="AB64">
        <f t="shared" si="115"/>
        <v>100</v>
      </c>
      <c r="AC64">
        <f t="shared" si="116"/>
        <v>100</v>
      </c>
      <c r="AD64">
        <f t="shared" si="117"/>
        <v>100</v>
      </c>
      <c r="AE64">
        <f t="shared" si="118"/>
        <v>100</v>
      </c>
      <c r="AF64">
        <f t="shared" si="119"/>
        <v>100</v>
      </c>
      <c r="AG64">
        <f t="shared" si="120"/>
        <v>0</v>
      </c>
      <c r="AH64">
        <f t="shared" si="121"/>
        <v>0</v>
      </c>
      <c r="AI64">
        <f t="shared" si="122"/>
        <v>0</v>
      </c>
      <c r="AJ64">
        <f t="shared" si="123"/>
        <v>5</v>
      </c>
      <c r="AK64">
        <f t="shared" si="124"/>
        <v>0</v>
      </c>
      <c r="AL64">
        <f t="shared" si="125"/>
        <v>10</v>
      </c>
      <c r="AM64">
        <f t="shared" si="126"/>
        <v>53.099999999999994</v>
      </c>
      <c r="AN64">
        <f t="shared" si="127"/>
        <v>100</v>
      </c>
      <c r="AO64">
        <f t="shared" si="128"/>
        <v>100</v>
      </c>
      <c r="AP64">
        <f t="shared" si="129"/>
        <v>100</v>
      </c>
      <c r="AQ64">
        <f t="shared" si="130"/>
        <v>0</v>
      </c>
      <c r="AR64">
        <f t="shared" si="41"/>
        <v>5.75</v>
      </c>
      <c r="AS64">
        <f t="shared" si="131"/>
        <v>64</v>
      </c>
      <c r="AT64" s="15">
        <v>3</v>
      </c>
      <c r="AU64" s="15">
        <v>2</v>
      </c>
      <c r="AV64" s="15">
        <v>3</v>
      </c>
      <c r="AW64">
        <f t="shared" si="132"/>
        <v>8</v>
      </c>
      <c r="AX64" s="38" t="e" vm="61">
        <v>#VALUE!</v>
      </c>
      <c r="AY64" s="59" cm="1">
        <f t="array" aca="1" ref="AY64" ca="1">_FV(AX64,"PRECIO")</f>
        <v>147.56</v>
      </c>
      <c r="AZ64" s="60">
        <v>153</v>
      </c>
      <c r="BA64" s="55" t="str">
        <f>IFERROR(INDEX('DCF Simplified'!$Y$4:$Y$38,MATCH(A64,'DCF Simplified'!$A$4:$A$38,0)),"")</f>
        <v/>
      </c>
      <c r="BB64" s="57">
        <f t="shared" ca="1" si="133"/>
        <v>3.6866359447004594E-2</v>
      </c>
      <c r="BD64">
        <v>0.3</v>
      </c>
      <c r="BE64">
        <v>60</v>
      </c>
      <c r="BF64">
        <v>0.4</v>
      </c>
      <c r="BG64">
        <f t="shared" si="134"/>
        <v>100</v>
      </c>
      <c r="BH64">
        <f t="shared" si="135"/>
        <v>70</v>
      </c>
      <c r="BI64">
        <f t="shared" si="136"/>
        <v>100</v>
      </c>
      <c r="BJ64">
        <f t="shared" si="137"/>
        <v>92.5</v>
      </c>
      <c r="BK64">
        <f t="shared" si="138"/>
        <v>64</v>
      </c>
      <c r="BL64" t="str">
        <f t="shared" si="139"/>
        <v>⚪ NEUTRAL</v>
      </c>
      <c r="BM64" s="49" t="str">
        <f t="shared" si="140"/>
        <v>⚠️ HOLD</v>
      </c>
    </row>
    <row r="65" spans="1:65" x14ac:dyDescent="0.4">
      <c r="A65" t="s">
        <v>317</v>
      </c>
      <c r="B65" t="s">
        <v>44</v>
      </c>
      <c r="C65" s="1">
        <v>0.49</v>
      </c>
      <c r="D65" s="1">
        <v>0.41</v>
      </c>
      <c r="E65" s="1">
        <v>0.44</v>
      </c>
      <c r="F65" s="1">
        <v>0.93</v>
      </c>
      <c r="G65" s="1">
        <v>1.5</v>
      </c>
      <c r="H65">
        <v>3</v>
      </c>
      <c r="I65">
        <v>-0.3</v>
      </c>
      <c r="J65">
        <v>2</v>
      </c>
      <c r="K65">
        <v>30</v>
      </c>
      <c r="L65">
        <v>0.2</v>
      </c>
      <c r="M65">
        <v>0.7</v>
      </c>
      <c r="N65">
        <v>0.35</v>
      </c>
      <c r="O65">
        <v>4.8</v>
      </c>
      <c r="P65">
        <v>5</v>
      </c>
      <c r="Q65">
        <v>8</v>
      </c>
      <c r="R65">
        <v>3.0000000000000001E-3</v>
      </c>
      <c r="S65">
        <v>0.05</v>
      </c>
      <c r="T65">
        <v>0.02</v>
      </c>
      <c r="U65">
        <f t="shared" ref="U65:U66" si="141">IF(OR($B65="",C65=""),"",IF(ISERROR(MATCH($B65,GP_ROE_Sectors,0)),0,IF(C65&gt;=INDEX(GP_ROE_T,MATCH($B65,GP_ROE_Sectors,0),1),INDEX(GP_ROE_T,MATCH($B65,GP_ROE_Sectors,0),2),IF(C65&gt;=INDEX(GP_ROE_T,MATCH($B65,GP_ROE_Sectors,0),3),INDEX(GP_ROE_T,MATCH($B65,GP_ROE_Sectors,0),4),IF(C65&gt;=INDEX(GP_ROE_T,MATCH($B65,GP_ROE_Sectors,0),5),INDEX(GP_ROE_T,MATCH($B65,GP_ROE_Sectors,0),6),IF(C65&gt;=INDEX(GP_ROE_T,MATCH($B65,GP_ROE_Sectors,0),7),INDEX(GP_ROE_T,MATCH($B65,GP_ROE_Sectors,0),8),IF(C65&gt;=INDEX(GP_ROE_T,MATCH($B65,GP_ROE_Sectors,0),9),INDEX(GP_ROE_T,MATCH($B65,GP_ROE_Sectors,0),10),IF(C65&gt;=INDEX(GP_ROE_T,MATCH($B65,GP_ROE_Sectors,0),11),INDEX(GP_ROE_T,MATCH($B65,GP_ROE_Sectors,0),12),0))))))))</f>
        <v>100</v>
      </c>
      <c r="V65">
        <f t="shared" ref="V65:V66" si="142">IF(OR($B65="",D65=""),"",IF(ISERROR(MATCH($B65,GP_ROIC_Sectors,0)),0,IF(D65&gt;=INDEX(GP_ROIC_T,MATCH($B65,GP_ROIC_Sectors,0),1),INDEX(GP_ROIC_T,MATCH($B65,GP_ROIC_Sectors,0),2),IF(D65&gt;=INDEX(GP_ROIC_T,MATCH($B65,GP_ROIC_Sectors,0),3),INDEX(GP_ROIC_T,MATCH($B65,GP_ROIC_Sectors,0),4),IF(D65&gt;=INDEX(GP_ROIC_T,MATCH($B65,GP_ROIC_Sectors,0),5),INDEX(GP_ROIC_T,MATCH($B65,GP_ROIC_Sectors,0),6),IF(D65&gt;=INDEX(GP_ROIC_T,MATCH($B65,GP_ROIC_Sectors,0),7),INDEX(GP_ROIC_T,MATCH($B65,GP_ROIC_Sectors,0),8),IF(D65&gt;=INDEX(GP_ROIC_T,MATCH($B65,GP_ROIC_Sectors,0),9),INDEX(GP_ROIC_T,MATCH($B65,GP_ROIC_Sectors,0),10),IF(D65&gt;=INDEX(GP_ROIC_T,MATCH($B65,GP_ROIC_Sectors,0),11),INDEX(GP_ROIC_T,MATCH($B65,GP_ROIC_Sectors,0),12),0))))))))</f>
        <v>100</v>
      </c>
      <c r="W65">
        <f t="shared" ref="W65:W66" si="143">IF(OR($B65="",E65=""),"",IF(ISERROR(MATCH($B65,GP_NM_Sectors,0)),0,IF(E65&gt;=INDEX(GP_NM_T,MATCH($B65,GP_NM_Sectors,0),1),INDEX(GP_NM_T,MATCH($B65,GP_NM_Sectors,0),2),IF(E65&gt;=INDEX(GP_NM_T,MATCH($B65,GP_NM_Sectors,0),3),INDEX(GP_NM_T,MATCH($B65,GP_NM_Sectors,0),4),IF(E65&gt;=INDEX(GP_NM_T,MATCH($B65,GP_NM_Sectors,0),5),INDEX(GP_NM_T,MATCH($B65,GP_NM_Sectors,0),6),IF(E65&gt;=INDEX(GP_NM_T,MATCH($B65,GP_NM_Sectors,0),7),INDEX(GP_NM_T,MATCH($B65,GP_NM_Sectors,0),8),IF(E65&gt;=INDEX(GP_NM_T,MATCH($B65,GP_NM_Sectors,0),9),INDEX(GP_NM_T,MATCH($B65,GP_NM_Sectors,0),10),IF(E65&gt;=INDEX(GP_NM_T,MATCH($B65,GP_NM_Sectors,0),11),INDEX(GP_NM_T,MATCH($B65,GP_NM_Sectors,0),12),0))))))))</f>
        <v>100</v>
      </c>
      <c r="X65">
        <f t="shared" ref="X65:X66" si="144">IF(OR($B65="",F65=""),"",IF(ISERROR(MATCH($B65,GP_RG_Sectors,0)),0,IF(F65&gt;=INDEX(GP_RG_T,MATCH($B65,GP_RG_Sectors,0),1),INDEX(GP_RG_T,MATCH($B65,GP_RG_Sectors,0),2),IF(F65&gt;=INDEX(GP_RG_T,MATCH($B65,GP_RG_Sectors,0),3),INDEX(GP_RG_T,MATCH($B65,GP_RG_Sectors,0),4),IF(F65&gt;=INDEX(GP_RG_T,MATCH($B65,GP_RG_Sectors,0),5),INDEX(GP_RG_T,MATCH($B65,GP_RG_Sectors,0),6),IF(F65&gt;=INDEX(GP_RG_T,MATCH($B65,GP_RG_Sectors,0),7),INDEX(GP_RG_T,MATCH($B65,GP_RG_Sectors,0),8),IF(F65&gt;=INDEX(GP_RG_T,MATCH($B65,GP_RG_Sectors,0),9),INDEX(GP_RG_T,MATCH($B65,GP_RG_Sectors,0),10),IF(F65&gt;=INDEX(GP_RG_T,MATCH($B65,GP_RG_Sectors,0),11),INDEX(GP_RG_T,MATCH($B65,GP_RG_Sectors,0),12),0))))))))</f>
        <v>100</v>
      </c>
      <c r="Y65">
        <f t="shared" ref="Y65:Y66" si="145">IF(OR($B65="",G65=""),"",IF(ISERROR(MATCH($B65,GP_EG_Sectors,0)),0,IF(G65&gt;=INDEX(GP_EG_T,MATCH($B65,GP_EG_Sectors,0),1),INDEX(GP_EG_T,MATCH($B65,GP_EG_Sectors,0),2),IF(G65&gt;=INDEX(GP_EG_T,MATCH($B65,GP_EG_Sectors,0),3),INDEX(GP_EG_T,MATCH($B65,GP_EG_Sectors,0),4),IF(G65&gt;=INDEX(GP_EG_T,MATCH($B65,GP_EG_Sectors,0),5),INDEX(GP_EG_T,MATCH($B65,GP_EG_Sectors,0),6),IF(G65&gt;=INDEX(GP_EG_T,MATCH($B65,GP_EG_Sectors,0),7),INDEX(GP_EG_T,MATCH($B65,GP_EG_Sectors,0),8),IF(G65&gt;=INDEX(GP_EG_T,MATCH($B65,GP_EG_Sectors,0),9),INDEX(GP_EG_T,MATCH($B65,GP_EG_Sectors,0),10),IF(G65&gt;=INDEX(GP_EG_T,MATCH($B65,GP_EG_Sectors,0),11),INDEX(GP_EG_T,MATCH($B65,GP_EG_Sectors,0),12),0))))))))</f>
        <v>100</v>
      </c>
      <c r="Z65">
        <f t="shared" ref="Z65:Z66" si="146">IF(OR($B65="",H65=""),"",IF(ISERROR(MATCH($B65,GP_OL_Sectors,0)),0,IF(H65&gt;=INDEX(GP_OL_T,MATCH($B65,GP_OL_Sectors,0),1),INDEX(GP_OL_T,MATCH($B65,GP_OL_Sectors,0),2),IF(H65&gt;=INDEX(GP_OL_T,MATCH($B65,GP_OL_Sectors,0),3),INDEX(GP_OL_T,MATCH($B65,GP_OL_Sectors,0),4),IF(H65&gt;=INDEX(GP_OL_T,MATCH($B65,GP_OL_Sectors,0),5),INDEX(GP_OL_T,MATCH($B65,GP_OL_Sectors,0),6),IF(H65&gt;=INDEX(GP_OL_T,MATCH($B65,GP_OL_Sectors,0),7),INDEX(GP_OL_T,MATCH($B65,GP_OL_Sectors,0),8),IF(H65&gt;=INDEX(GP_OL_T,MATCH($B65,GP_OL_Sectors,0),9),INDEX(GP_OL_T,MATCH($B65,GP_OL_Sectors,0),10),IF(H65&gt;=INDEX(GP_OL_T,MATCH($B65,GP_OL_Sectors,0),11),INDEX(GP_OL_T,MATCH($B65,GP_OL_Sectors,0),12),0))))))))</f>
        <v>100</v>
      </c>
      <c r="AA65">
        <f t="shared" ref="AA65:AA66" si="147">IF(OR($B65="",I65=""),"",IF(ISERROR(MATCH($B65,GP_ND_Sectors,0)),0,IF(I65&lt;=INDEX(GP_ND_T,MATCH($B65,GP_ND_Sectors,0),1),INDEX(GP_ND_T,MATCH($B65,GP_ND_Sectors,0),2),IF(I65&lt;=INDEX(GP_ND_T,MATCH($B65,GP_ND_Sectors,0),3),INDEX(GP_ND_T,MATCH($B65,GP_ND_Sectors,0),4),IF(I65&lt;=INDEX(GP_ND_T,MATCH($B65,GP_ND_Sectors,0),5),INDEX(GP_ND_T,MATCH($B65,GP_ND_Sectors,0),6),IF(I65&lt;=INDEX(GP_ND_T,MATCH($B65,GP_ND_Sectors,0),7),INDEX(GP_ND_T,MATCH($B65,GP_ND_Sectors,0),8),IF(I65&lt;=INDEX(GP_ND_T,MATCH($B65,GP_ND_Sectors,0),9),INDEX(GP_ND_T,MATCH($B65,GP_ND_Sectors,0),10),IF(I65&lt;=INDEX(GP_ND_T,MATCH($B65,GP_ND_Sectors,0),11),INDEX(GP_ND_T,MATCH($B65,GP_ND_Sectors,0),12),0))))))))</f>
        <v>100</v>
      </c>
      <c r="AB65">
        <f t="shared" ref="AB65:AB66" si="148">IF(OR($B65="",J65=""),"",IF(ISERROR(MATCH($B65,GP_CR_Sectors,0)),0,IF(J65&gt;=INDEX(GP_CR_T,MATCH($B65,GP_CR_Sectors,0),1),INDEX(GP_CR_T,MATCH($B65,GP_CR_Sectors,0),2),IF(J65&gt;=INDEX(GP_CR_T,MATCH($B65,GP_CR_Sectors,0),3),INDEX(GP_CR_T,MATCH($B65,GP_CR_Sectors,0),4),IF(J65&gt;=INDEX(GP_CR_T,MATCH($B65,GP_CR_Sectors,0),5),INDEX(GP_CR_T,MATCH($B65,GP_CR_Sectors,0),6),IF(J65&gt;=INDEX(GP_CR_T,MATCH($B65,GP_CR_Sectors,0),7),INDEX(GP_CR_T,MATCH($B65,GP_CR_Sectors,0),8),IF(J65&gt;=INDEX(GP_CR_T,MATCH($B65,GP_CR_Sectors,0),9),INDEX(GP_CR_T,MATCH($B65,GP_CR_Sectors,0),10),IF(J65&gt;=INDEX(GP_CR_T,MATCH($B65,GP_CR_Sectors,0),11),INDEX(GP_CR_T,MATCH($B65,GP_CR_Sectors,0),12),0))))))))</f>
        <v>85</v>
      </c>
      <c r="AC65">
        <f t="shared" ref="AC65:AC66" si="149">IF(OR($B65="",K65=""),"",IF(ISERROR(MATCH($B65,GP_IC_Sectors,0)),0,IF(K65&gt;=INDEX(GP_IC_T,MATCH($B65,GP_IC_Sectors,0),1),INDEX(GP_IC_T,MATCH($B65,GP_IC_Sectors,0),2),IF(K65&gt;=INDEX(GP_IC_T,MATCH($B65,GP_IC_Sectors,0),3),INDEX(GP_IC_T,MATCH($B65,GP_IC_Sectors,0),4),IF(K65&gt;=INDEX(GP_IC_T,MATCH($B65,GP_IC_Sectors,0),5),INDEX(GP_IC_T,MATCH($B65,GP_IC_Sectors,0),6),IF(K65&gt;=INDEX(GP_IC_T,MATCH($B65,GP_IC_Sectors,0),7),INDEX(GP_IC_T,MATCH($B65,GP_IC_Sectors,0),8),IF(K65&gt;=INDEX(GP_IC_T,MATCH($B65,GP_IC_Sectors,0),9),INDEX(GP_IC_T,MATCH($B65,GP_IC_Sectors,0),10),IF(K65&gt;=INDEX(GP_IC_T,MATCH($B65,GP_IC_Sectors,0),11),INDEX(GP_IC_T,MATCH($B65,GP_IC_Sectors,0),12),0))))))))</f>
        <v>100</v>
      </c>
      <c r="AD65">
        <f t="shared" ref="AD65:AD66" si="150">IF(OR($B65="",L65=""),"",IF(ISERROR(MATCH($B65,GP_FM_Sectors,0)),0,IF(L65&gt;=INDEX(GP_FM_T,MATCH($B65,GP_FM_Sectors,0),1),INDEX(GP_FM_T,MATCH($B65,GP_FM_Sectors,0),2),IF(L65&gt;=INDEX(GP_FM_T,MATCH($B65,GP_FM_Sectors,0),3),INDEX(GP_FM_T,MATCH($B65,GP_FM_Sectors,0),4),IF(L65&gt;=INDEX(GP_FM_T,MATCH($B65,GP_FM_Sectors,0),5),INDEX(GP_FM_T,MATCH($B65,GP_FM_Sectors,0),6),IF(L65&gt;=INDEX(GP_FM_T,MATCH($B65,GP_FM_Sectors,0),7),INDEX(GP_FM_T,MATCH($B65,GP_FM_Sectors,0),8),IF(L65&gt;=INDEX(GP_FM_T,MATCH($B65,GP_FM_Sectors,0),9),INDEX(GP_FM_T,MATCH($B65,GP_FM_Sectors,0),10),IF(L65&gt;=INDEX(GP_FM_T,MATCH($B65,GP_FM_Sectors,0),11),INDEX(GP_FM_T,MATCH($B65,GP_FM_Sectors,0),12),0))))))))</f>
        <v>88</v>
      </c>
      <c r="AE65">
        <f t="shared" ref="AE65:AE66" si="151">IF(OR($B65="",M65=""),"",IF(ISERROR(MATCH($B65,GP_FN_Sectors,0)),0,IF(M65&gt;=INDEX(GP_FN_T,MATCH($B65,GP_FN_Sectors,0),1),INDEX(GP_FN_T,MATCH($B65,GP_FN_Sectors,0),2),IF(M65&gt;=INDEX(GP_FN_T,MATCH($B65,GP_FN_Sectors,0),3),INDEX(GP_FN_T,MATCH($B65,GP_FN_Sectors,0),4),IF(M65&gt;=INDEX(GP_FN_T,MATCH($B65,GP_FN_Sectors,0),5),INDEX(GP_FN_T,MATCH($B65,GP_FN_Sectors,0),6),IF(M65&gt;=INDEX(GP_FN_T,MATCH($B65,GP_FN_Sectors,0),7),INDEX(GP_FN_T,MATCH($B65,GP_FN_Sectors,0),8),IF(M65&gt;=INDEX(GP_FN_T,MATCH($B65,GP_FN_Sectors,0),9),INDEX(GP_FN_T,MATCH($B65,GP_FN_Sectors,0),10),IF(M65&gt;=INDEX(GP_FN_T,MATCH($B65,GP_FN_Sectors,0),11),INDEX(GP_FN_T,MATCH($B65,GP_FN_Sectors,0),12),0))))))))</f>
        <v>55</v>
      </c>
      <c r="AF65">
        <f t="shared" ref="AF65:AF66" si="152">IF(OR($B65="",N65=""),"",IF(ISERROR(MATCH($B65,GP_CX_Sectors,0)),0,IF(N65&lt;=INDEX(GP_CX_T,MATCH($B65,GP_CX_Sectors,0),1),INDEX(GP_CX_T,MATCH($B65,GP_CX_Sectors,0),2),IF(N65&lt;=INDEX(GP_CX_T,MATCH($B65,GP_CX_Sectors,0),3),INDEX(GP_CX_T,MATCH($B65,GP_CX_Sectors,0),4),IF(N65&lt;=INDEX(GP_CX_T,MATCH($B65,GP_CX_Sectors,0),5),INDEX(GP_CX_T,MATCH($B65,GP_CX_Sectors,0),6),IF(N65&lt;=INDEX(GP_CX_T,MATCH($B65,GP_CX_Sectors,0),7),INDEX(GP_CX_T,MATCH($B65,GP_CX_Sectors,0),8),IF(N65&lt;=INDEX(GP_CX_T,MATCH($B65,GP_CX_Sectors,0),9),INDEX(GP_CX_T,MATCH($B65,GP_CX_Sectors,0),10),IF(N65&lt;=INDEX(GP_CX_T,MATCH($B65,GP_CX_Sectors,0),11),INDEX(GP_CX_T,MATCH($B65,GP_CX_Sectors,0),12),0))))))))</f>
        <v>0</v>
      </c>
      <c r="AG65">
        <f t="shared" ref="AG65:AG66" si="153">IF(OR($B65="",O65=""),"",IF(ISERROR(MATCH($B65,GP_PE_Sectors,0)),0,IF(O65&lt;=INDEX(GP_PE_T,MATCH($B65,GP_PE_Sectors,0),1),INDEX(GP_PE_T,MATCH($B65,GP_PE_Sectors,0),2),IF(O65&lt;=INDEX(GP_PE_T,MATCH($B65,GP_PE_Sectors,0),3),INDEX(GP_PE_T,MATCH($B65,GP_PE_Sectors,0),4),IF(O65&lt;=INDEX(GP_PE_T,MATCH($B65,GP_PE_Sectors,0),5),INDEX(GP_PE_T,MATCH($B65,GP_PE_Sectors,0),6),IF(O65&lt;=INDEX(GP_PE_T,MATCH($B65,GP_PE_Sectors,0),7),INDEX(GP_PE_T,MATCH($B65,GP_PE_Sectors,0),8),IF(O65&lt;=INDEX(GP_PE_T,MATCH($B65,GP_PE_Sectors,0),9),INDEX(GP_PE_T,MATCH($B65,GP_PE_Sectors,0),10),IF(O65&lt;=INDEX(GP_PE_T,MATCH($B65,GP_PE_Sectors,0),11),INDEX(GP_PE_T,MATCH($B65,GP_PE_Sectors,0),12),0))))))))</f>
        <v>100</v>
      </c>
      <c r="AH65">
        <f t="shared" ref="AH65:AH66" si="154">IF(OR($B65="",P65=""),"",IF(ISERROR(MATCH($B65,GP_EV_Sectors,0)),0,IF(P65&lt;=INDEX(GP_EV_T,MATCH($B65,GP_EV_Sectors,0),1),INDEX(GP_EV_T,MATCH($B65,GP_EV_Sectors,0),2),IF(P65&lt;=INDEX(GP_EV_T,MATCH($B65,GP_EV_Sectors,0),3),INDEX(GP_EV_T,MATCH($B65,GP_EV_Sectors,0),4),IF(P65&lt;=INDEX(GP_EV_T,MATCH($B65,GP_EV_Sectors,0),5),INDEX(GP_EV_T,MATCH($B65,GP_EV_Sectors,0),6),IF(P65&lt;=INDEX(GP_EV_T,MATCH($B65,GP_EV_Sectors,0),7),INDEX(GP_EV_T,MATCH($B65,GP_EV_Sectors,0),8),IF(P65&lt;=INDEX(GP_EV_T,MATCH($B65,GP_EV_Sectors,0),9),INDEX(GP_EV_T,MATCH($B65,GP_EV_Sectors,0),10),IF(P65&lt;=INDEX(GP_EV_T,MATCH($B65,GP_EV_Sectors,0),11),INDEX(GP_EV_T,MATCH($B65,GP_EV_Sectors,0),12),0))))))))</f>
        <v>100</v>
      </c>
      <c r="AI65">
        <f t="shared" ref="AI65:AI66" si="155">IF(OR($B65="",Q65=""),"",IF(ISERROR(MATCH($B65,GP_PF_Sectors,0)),0,IF(Q65&lt;=INDEX(GP_PF_T,MATCH($B65,GP_PF_Sectors,0),1),INDEX(GP_PF_T,MATCH($B65,GP_PF_Sectors,0),2),IF(Q65&lt;=INDEX(GP_PF_T,MATCH($B65,GP_PF_Sectors,0),3),INDEX(GP_PF_T,MATCH($B65,GP_PF_Sectors,0),4),IF(Q65&lt;=INDEX(GP_PF_T,MATCH($B65,GP_PF_Sectors,0),5),INDEX(GP_PF_T,MATCH($B65,GP_PF_Sectors,0),6),IF(Q65&lt;=INDEX(GP_PF_T,MATCH($B65,GP_PF_Sectors,0),7),INDEX(GP_PF_T,MATCH($B65,GP_PF_Sectors,0),8),IF(Q65&lt;=INDEX(GP_PF_T,MATCH($B65,GP_PF_Sectors,0),9),INDEX(GP_PF_T,MATCH($B65,GP_PF_Sectors,0),10),IF(Q65&lt;=INDEX(GP_PF_T,MATCH($B65,GP_PF_Sectors,0),11),INDEX(GP_PF_T,MATCH($B65,GP_PF_Sectors,0),12),0))))))))</f>
        <v>100</v>
      </c>
      <c r="AJ65">
        <f t="shared" ref="AJ65:AJ66" si="156">IF(OR($B65="",R65=""),"",IF(ISERROR(MATCH($B65,GP_DY_Sectors,0)),0,IF(R65&gt;=INDEX(GP_DY_T,MATCH($B65,GP_DY_Sectors,0),1),INDEX(GP_DY_T,MATCH($B65,GP_DY_Sectors,0),2),IF(R65&gt;=INDEX(GP_DY_T,MATCH($B65,GP_DY_Sectors,0),3),INDEX(GP_DY_T,MATCH($B65,GP_DY_Sectors,0),4),IF(R65&gt;=INDEX(GP_DY_T,MATCH($B65,GP_DY_Sectors,0),5),INDEX(GP_DY_T,MATCH($B65,GP_DY_Sectors,0),6),IF(R65&gt;=INDEX(GP_DY_T,MATCH($B65,GP_DY_Sectors,0),7),INDEX(GP_DY_T,MATCH($B65,GP_DY_Sectors,0),8),IF(R65&gt;=INDEX(GP_DY_T,MATCH($B65,GP_DY_Sectors,0),9),INDEX(GP_DY_T,MATCH($B65,GP_DY_Sectors,0),10),IF(R65&gt;=INDEX(GP_DY_T,MATCH($B65,GP_DY_Sectors,0),11),INDEX(GP_DY_T,MATCH($B65,GP_DY_Sectors,0),12),0))))))))</f>
        <v>22</v>
      </c>
      <c r="AK65">
        <f t="shared" ref="AK65:AK66" si="157">IF(OR($B65="",S65=""),"",IF(ISERROR(MATCH($B65,GP_PR_Sectors,0)),0,IF(S65&gt;=INDEX(GP_PR_T,MATCH($B65,GP_PR_Sectors,0),1),INDEX(GP_PR_T,MATCH($B65,GP_PR_Sectors,0),2),IF(S65&gt;=INDEX(GP_PR_T,MATCH($B65,GP_PR_Sectors,0),3),INDEX(GP_PR_T,MATCH($B65,GP_PR_Sectors,0),4),IF(S65&gt;=INDEX(GP_PR_T,MATCH($B65,GP_PR_Sectors,0),5),INDEX(GP_PR_T,MATCH($B65,GP_PR_Sectors,0),6),IF(S65&gt;=INDEX(GP_PR_T,MATCH($B65,GP_PR_Sectors,0),7),INDEX(GP_PR_T,MATCH($B65,GP_PR_Sectors,0),8),IF(S65&gt;=INDEX(GP_PR_T,MATCH($B65,GP_PR_Sectors,0),9),INDEX(GP_PR_T,MATCH($B65,GP_PR_Sectors,0),10),IF(S65&gt;=INDEX(GP_PR_T,MATCH($B65,GP_PR_Sectors,0),11),INDEX(GP_PR_T,MATCH($B65,GP_PR_Sectors,0),12),0))))))))</f>
        <v>0</v>
      </c>
      <c r="AL65">
        <f t="shared" ref="AL65:AL66" si="158">IF(OR($B65="",T65=""),"",IF(ISERROR(MATCH($B65,GP_BY_Sectors,0)),0,IF(T65&gt;=INDEX(GP_BY_T,MATCH($B65,GP_BY_Sectors,0),1),INDEX(GP_BY_T,MATCH($B65,GP_BY_Sectors,0),2),IF(T65&gt;=INDEX(GP_BY_T,MATCH($B65,GP_BY_Sectors,0),3),INDEX(GP_BY_T,MATCH($B65,GP_BY_Sectors,0),4),IF(T65&gt;=INDEX(GP_BY_T,MATCH($B65,GP_BY_Sectors,0),5),INDEX(GP_BY_T,MATCH($B65,GP_BY_Sectors,0),6),IF(T65&gt;=INDEX(GP_BY_T,MATCH($B65,GP_BY_Sectors,0),7),INDEX(GP_BY_T,MATCH($B65,GP_BY_Sectors,0),8),IF(T65&gt;=INDEX(GP_BY_T,MATCH($B65,GP_BY_Sectors,0),9),INDEX(GP_BY_T,MATCH($B65,GP_BY_Sectors,0),10),IF(T65&gt;=INDEX(GP_BY_T,MATCH($B65,GP_BY_Sectors,0),11),INDEX(GP_BY_T,MATCH($B65,GP_BY_Sectors,0),12),0))))))))</f>
        <v>68</v>
      </c>
      <c r="AM65">
        <f t="shared" ref="AM65:AM66" si="159">IF($B65="","",U65*0.35+V65*0.35+W65*0.3)</f>
        <v>100</v>
      </c>
      <c r="AN65">
        <f t="shared" ref="AN65:AN66" si="160">IF($B65="","",X65*0.4+Y65*0.35+Z65*0.25)</f>
        <v>100</v>
      </c>
      <c r="AO65">
        <f t="shared" ref="AO65:AO66" si="161">IF($B65="","",AA65*0.35+AB65*0.3+AC65*0.35)</f>
        <v>95.5</v>
      </c>
      <c r="AP65">
        <f t="shared" ref="AP65:AP66" si="162">IF($B65="","",AD65*0.4+AE65*0.35+AF65*0.25)</f>
        <v>54.45</v>
      </c>
      <c r="AQ65">
        <f t="shared" ref="AQ65:AQ66" si="163">IF($B65="","",AG65*0.35+AH65*0.35+AI65*0.3)</f>
        <v>100</v>
      </c>
      <c r="AR65">
        <f t="shared" si="41"/>
        <v>33.699999999999996</v>
      </c>
      <c r="AS65">
        <f t="shared" ref="AS65:AS66" si="164">IF($B65="","",MIN(100,MAX(0,ROUND(AM65*INDEX(GP_W_P1,MATCH($B65,GP_Weights_Sectors,0))+AN65*INDEX(GP_W_P2,MATCH($B65,GP_Weights_Sectors,0))+AO65*INDEX(GP_W_P3,MATCH($B65,GP_Weights_Sectors,0))+AP65*INDEX(GP_W_P4,MATCH($B65,GP_Weights_Sectors,0))+AQ65*INDEX(GP_W_P5,MATCH($B65,GP_Weights_Sectors,0))+AR65*INDEX(GP_W_P6,MATCH($B65,GP_Weights_Sectors,0)),0))))</f>
        <v>86</v>
      </c>
      <c r="AT65" s="12">
        <v>3</v>
      </c>
      <c r="AU65" s="12">
        <v>3</v>
      </c>
      <c r="AV65" s="12">
        <v>2</v>
      </c>
      <c r="AW65">
        <f>MAX(-10,MIN(10,AT65+AU65+AV65))</f>
        <v>8</v>
      </c>
      <c r="AX65" s="38" t="e" vm="62">
        <v>#VALUE!</v>
      </c>
      <c r="AY65" s="61" cm="1">
        <f t="array" aca="1" ref="AY65" ca="1">_FV(AX65,"PRECIO")</f>
        <v>922000</v>
      </c>
      <c r="AZ65" s="37">
        <v>623000</v>
      </c>
      <c r="BB65" s="58">
        <f t="shared" ca="1" si="133"/>
        <v>-0.324295010845987</v>
      </c>
      <c r="BD65">
        <v>0.05</v>
      </c>
      <c r="BE65">
        <v>55</v>
      </c>
      <c r="BF65">
        <v>0.1</v>
      </c>
      <c r="BG65">
        <f t="shared" si="134"/>
        <v>65</v>
      </c>
      <c r="BH65">
        <f t="shared" si="135"/>
        <v>70</v>
      </c>
      <c r="BI65">
        <f t="shared" si="136"/>
        <v>65</v>
      </c>
      <c r="BJ65">
        <f t="shared" si="137"/>
        <v>66.3</v>
      </c>
      <c r="BK65">
        <f t="shared" si="138"/>
        <v>81</v>
      </c>
      <c r="BL65" t="str">
        <f t="shared" si="139"/>
        <v>🟡 FAVORABLE</v>
      </c>
      <c r="BM65" s="49" t="str">
        <f t="shared" si="140"/>
        <v>✅ BUY</v>
      </c>
    </row>
    <row r="66" spans="1:65" x14ac:dyDescent="0.4">
      <c r="A66" t="s">
        <v>318</v>
      </c>
      <c r="B66" t="s">
        <v>44</v>
      </c>
      <c r="C66" s="1">
        <v>2.3E-2</v>
      </c>
      <c r="D66" s="1">
        <v>7.0000000000000001E-3</v>
      </c>
      <c r="E66" s="1">
        <v>0.12</v>
      </c>
      <c r="F66" s="1">
        <v>-0.15</v>
      </c>
      <c r="G66" s="1">
        <v>-0.5</v>
      </c>
      <c r="H66">
        <v>5</v>
      </c>
      <c r="I66">
        <v>15</v>
      </c>
      <c r="J66">
        <v>1.4</v>
      </c>
      <c r="K66">
        <v>1.5</v>
      </c>
      <c r="L66">
        <v>-1.6E-2</v>
      </c>
      <c r="M66">
        <v>-0.12</v>
      </c>
      <c r="N66">
        <v>0.15</v>
      </c>
      <c r="O66">
        <v>61</v>
      </c>
      <c r="P66">
        <v>32</v>
      </c>
      <c r="Q66">
        <v>-1700</v>
      </c>
      <c r="R66">
        <v>0</v>
      </c>
      <c r="S66">
        <v>0</v>
      </c>
      <c r="T66">
        <v>0</v>
      </c>
      <c r="U66">
        <f t="shared" si="141"/>
        <v>18</v>
      </c>
      <c r="V66">
        <f t="shared" si="142"/>
        <v>0</v>
      </c>
      <c r="W66">
        <f t="shared" si="143"/>
        <v>72</v>
      </c>
      <c r="X66">
        <f t="shared" si="144"/>
        <v>0</v>
      </c>
      <c r="Y66">
        <f t="shared" si="145"/>
        <v>0</v>
      </c>
      <c r="Z66">
        <f t="shared" si="146"/>
        <v>100</v>
      </c>
      <c r="AA66">
        <f t="shared" si="147"/>
        <v>0</v>
      </c>
      <c r="AB66">
        <f t="shared" si="148"/>
        <v>52</v>
      </c>
      <c r="AC66">
        <f t="shared" si="149"/>
        <v>15</v>
      </c>
      <c r="AD66">
        <f t="shared" si="150"/>
        <v>0</v>
      </c>
      <c r="AE66">
        <f t="shared" si="151"/>
        <v>0</v>
      </c>
      <c r="AF66">
        <f t="shared" si="152"/>
        <v>32</v>
      </c>
      <c r="AG66">
        <f t="shared" si="153"/>
        <v>0</v>
      </c>
      <c r="AH66">
        <f t="shared" si="154"/>
        <v>30</v>
      </c>
      <c r="AI66">
        <f t="shared" si="155"/>
        <v>100</v>
      </c>
      <c r="AJ66">
        <f t="shared" si="156"/>
        <v>5</v>
      </c>
      <c r="AK66">
        <f t="shared" si="157"/>
        <v>0</v>
      </c>
      <c r="AL66">
        <f t="shared" si="158"/>
        <v>10</v>
      </c>
      <c r="AM66">
        <f t="shared" si="159"/>
        <v>27.9</v>
      </c>
      <c r="AN66">
        <f t="shared" si="160"/>
        <v>25</v>
      </c>
      <c r="AO66">
        <f t="shared" si="161"/>
        <v>20.85</v>
      </c>
      <c r="AP66">
        <f t="shared" si="162"/>
        <v>8</v>
      </c>
      <c r="AQ66">
        <f t="shared" si="163"/>
        <v>40.5</v>
      </c>
      <c r="AR66">
        <f t="shared" si="41"/>
        <v>5.75</v>
      </c>
      <c r="AS66">
        <f t="shared" si="164"/>
        <v>23</v>
      </c>
      <c r="AT66" s="12">
        <v>1</v>
      </c>
      <c r="AU66" s="12">
        <v>1</v>
      </c>
      <c r="AV66" s="12">
        <v>0</v>
      </c>
      <c r="AW66">
        <f>MAX(-10,MIN(10,AT66+AU66+AV66))</f>
        <v>2</v>
      </c>
      <c r="AX66" s="38" t="e" vm="63">
        <v>#VALUE!</v>
      </c>
      <c r="AY66" s="59" cm="1">
        <f t="array" aca="1" ref="AY66" ca="1">_FV(AX66,"PRECIO")</f>
        <v>688.8</v>
      </c>
      <c r="AZ66" s="37">
        <v>511</v>
      </c>
      <c r="BB66" s="58">
        <f t="shared" ca="1" si="133"/>
        <v>-0.25813008130081294</v>
      </c>
      <c r="BD66">
        <v>1.02</v>
      </c>
      <c r="BE66">
        <v>64</v>
      </c>
      <c r="BF66">
        <v>3</v>
      </c>
      <c r="BG66">
        <f>IF(BD66&gt;0.1,100,IF(BD66&gt;0.05,80,IF(BD66&gt;0,65,IF(BD66&gt;-0.05,45,IF(BD66&gt;-0.1,25,10)))))</f>
        <v>100</v>
      </c>
      <c r="BH66">
        <f>IF(AND(BE66&gt;=40,BE66&lt;=60),70,IF(AND(BE66&gt;60,BE66&lt;=70),85,IF(BE66&gt;70,50,IF(AND(BE66&gt;=30,BE66&lt;40),55,40))))</f>
        <v>85</v>
      </c>
      <c r="BI66">
        <f>IF(BF66&gt;0.2,100,IF(BF66&gt;0.1,80,IF(BF66&gt;0,65,IF(BF66&gt;-0.1,45,IF(BF66&gt;-0.2,25,10)))))</f>
        <v>100</v>
      </c>
      <c r="BJ66">
        <f>ROUND(BG66*0.4+BH66*0.25+BI66*0.35,1)</f>
        <v>96.3</v>
      </c>
      <c r="BK66">
        <f>IF(OR(AS66="",AQ66="",BJ66=""),"",ROUND(AS66*0.4+MAX(15,MIN(90,AQ66))*0.2+BJ66*0.25+MIN(100,MAX(0,AW66*10))*0.15,0))</f>
        <v>44</v>
      </c>
      <c r="BL66" t="str">
        <f>IF(BK66="","",IF(BK66&gt;=85,"🟢 STRONG",IF(BK66&gt;=70,"🟡 FAVORABLE",IF(BK66&gt;=55,"⚪ NEUTRAL",IF(BK66&gt;=40,"🟠 WEAK","🔴 AVOID")))))</f>
        <v>🟠 WEAK</v>
      </c>
      <c r="BM66" s="49" t="str">
        <f>IF(BK66="","",IF(AND(BK66&gt;=75,BJ66&gt;=70,AW66&gt;=6),"🚀 STRONG BUY",IF(AND(BK66&gt;=65,BJ66&gt;=55),"✅ BUY",IF(BK66&gt;=55,"⚠️ HOLD",IF(OR(BK66&lt;45,AND(BJ66&lt;35,AW66&lt;3)),"🔴 SELL","🟠 UNDERWEIGHT")))))</f>
        <v>🔴 SELL</v>
      </c>
    </row>
    <row r="67" spans="1:65" x14ac:dyDescent="0.4">
      <c r="A67" t="s">
        <v>319</v>
      </c>
      <c r="B67" t="s">
        <v>44</v>
      </c>
      <c r="C67" s="1">
        <v>0.317</v>
      </c>
      <c r="D67" s="1">
        <v>0.28499999999999998</v>
      </c>
      <c r="E67" s="1">
        <v>0.40699999999999997</v>
      </c>
      <c r="F67" s="1">
        <v>0.33300000000000002</v>
      </c>
      <c r="G67" s="1">
        <v>0.47</v>
      </c>
      <c r="H67">
        <v>2</v>
      </c>
      <c r="I67">
        <v>-2.8</v>
      </c>
      <c r="J67">
        <v>4.3600000000000003</v>
      </c>
      <c r="K67">
        <v>500</v>
      </c>
      <c r="L67">
        <v>0.52800000000000002</v>
      </c>
      <c r="M67">
        <v>1.3</v>
      </c>
      <c r="N67">
        <v>5.0000000000000001E-3</v>
      </c>
      <c r="O67">
        <v>39</v>
      </c>
      <c r="P67">
        <v>43</v>
      </c>
      <c r="Q67">
        <v>40</v>
      </c>
      <c r="R67">
        <v>0</v>
      </c>
      <c r="S67">
        <v>0</v>
      </c>
      <c r="T67">
        <v>2.5000000000000001E-3</v>
      </c>
      <c r="U67">
        <f t="shared" ref="U67" si="165">IF(OR($B67="",C67=""),"",IF(ISERROR(MATCH($B67,GP_ROE_Sectors,0)),0,IF(C67&gt;=INDEX(GP_ROE_T,MATCH($B67,GP_ROE_Sectors,0),1),INDEX(GP_ROE_T,MATCH($B67,GP_ROE_Sectors,0),2),IF(C67&gt;=INDEX(GP_ROE_T,MATCH($B67,GP_ROE_Sectors,0),3),INDEX(GP_ROE_T,MATCH($B67,GP_ROE_Sectors,0),4),IF(C67&gt;=INDEX(GP_ROE_T,MATCH($B67,GP_ROE_Sectors,0),5),INDEX(GP_ROE_T,MATCH($B67,GP_ROE_Sectors,0),6),IF(C67&gt;=INDEX(GP_ROE_T,MATCH($B67,GP_ROE_Sectors,0),7),INDEX(GP_ROE_T,MATCH($B67,GP_ROE_Sectors,0),8),IF(C67&gt;=INDEX(GP_ROE_T,MATCH($B67,GP_ROE_Sectors,0),9),INDEX(GP_ROE_T,MATCH($B67,GP_ROE_Sectors,0),10),IF(C67&gt;=INDEX(GP_ROE_T,MATCH($B67,GP_ROE_Sectors,0),11),INDEX(GP_ROE_T,MATCH($B67,GP_ROE_Sectors,0),12),0))))))))</f>
        <v>100</v>
      </c>
      <c r="V67">
        <f t="shared" ref="V67" si="166">IF(OR($B67="",D67=""),"",IF(ISERROR(MATCH($B67,GP_ROIC_Sectors,0)),0,IF(D67&gt;=INDEX(GP_ROIC_T,MATCH($B67,GP_ROIC_Sectors,0),1),INDEX(GP_ROIC_T,MATCH($B67,GP_ROIC_Sectors,0),2),IF(D67&gt;=INDEX(GP_ROIC_T,MATCH($B67,GP_ROIC_Sectors,0),3),INDEX(GP_ROIC_T,MATCH($B67,GP_ROIC_Sectors,0),4),IF(D67&gt;=INDEX(GP_ROIC_T,MATCH($B67,GP_ROIC_Sectors,0),5),INDEX(GP_ROIC_T,MATCH($B67,GP_ROIC_Sectors,0),6),IF(D67&gt;=INDEX(GP_ROIC_T,MATCH($B67,GP_ROIC_Sectors,0),7),INDEX(GP_ROIC_T,MATCH($B67,GP_ROIC_Sectors,0),8),IF(D67&gt;=INDEX(GP_ROIC_T,MATCH($B67,GP_ROIC_Sectors,0),9),INDEX(GP_ROIC_T,MATCH($B67,GP_ROIC_Sectors,0),10),IF(D67&gt;=INDEX(GP_ROIC_T,MATCH($B67,GP_ROIC_Sectors,0),11),INDEX(GP_ROIC_T,MATCH($B67,GP_ROIC_Sectors,0),12),0))))))))</f>
        <v>88</v>
      </c>
      <c r="W67">
        <f t="shared" ref="W67" si="167">IF(OR($B67="",E67=""),"",IF(ISERROR(MATCH($B67,GP_NM_Sectors,0)),0,IF(E67&gt;=INDEX(GP_NM_T,MATCH($B67,GP_NM_Sectors,0),1),INDEX(GP_NM_T,MATCH($B67,GP_NM_Sectors,0),2),IF(E67&gt;=INDEX(GP_NM_T,MATCH($B67,GP_NM_Sectors,0),3),INDEX(GP_NM_T,MATCH($B67,GP_NM_Sectors,0),4),IF(E67&gt;=INDEX(GP_NM_T,MATCH($B67,GP_NM_Sectors,0),5),INDEX(GP_NM_T,MATCH($B67,GP_NM_Sectors,0),6),IF(E67&gt;=INDEX(GP_NM_T,MATCH($B67,GP_NM_Sectors,0),7),INDEX(GP_NM_T,MATCH($B67,GP_NM_Sectors,0),8),IF(E67&gt;=INDEX(GP_NM_T,MATCH($B67,GP_NM_Sectors,0),9),INDEX(GP_NM_T,MATCH($B67,GP_NM_Sectors,0),10),IF(E67&gt;=INDEX(GP_NM_T,MATCH($B67,GP_NM_Sectors,0),11),INDEX(GP_NM_T,MATCH($B67,GP_NM_Sectors,0),12),0))))))))</f>
        <v>100</v>
      </c>
      <c r="X67">
        <f t="shared" ref="X67" si="168">IF(OR($B67="",F67=""),"",IF(ISERROR(MATCH($B67,GP_RG_Sectors,0)),0,IF(F67&gt;=INDEX(GP_RG_T,MATCH($B67,GP_RG_Sectors,0),1),INDEX(GP_RG_T,MATCH($B67,GP_RG_Sectors,0),2),IF(F67&gt;=INDEX(GP_RG_T,MATCH($B67,GP_RG_Sectors,0),3),INDEX(GP_RG_T,MATCH($B67,GP_RG_Sectors,0),4),IF(F67&gt;=INDEX(GP_RG_T,MATCH($B67,GP_RG_Sectors,0),5),INDEX(GP_RG_T,MATCH($B67,GP_RG_Sectors,0),6),IF(F67&gt;=INDEX(GP_RG_T,MATCH($B67,GP_RG_Sectors,0),7),INDEX(GP_RG_T,MATCH($B67,GP_RG_Sectors,0),8),IF(F67&gt;=INDEX(GP_RG_T,MATCH($B67,GP_RG_Sectors,0),9),INDEX(GP_RG_T,MATCH($B67,GP_RG_Sectors,0),10),IF(F67&gt;=INDEX(GP_RG_T,MATCH($B67,GP_RG_Sectors,0),11),INDEX(GP_RG_T,MATCH($B67,GP_RG_Sectors,0),12),0))))))))</f>
        <v>100</v>
      </c>
      <c r="Y67">
        <f t="shared" ref="Y67" si="169">IF(OR($B67="",G67=""),"",IF(ISERROR(MATCH($B67,GP_EG_Sectors,0)),0,IF(G67&gt;=INDEX(GP_EG_T,MATCH($B67,GP_EG_Sectors,0),1),INDEX(GP_EG_T,MATCH($B67,GP_EG_Sectors,0),2),IF(G67&gt;=INDEX(GP_EG_T,MATCH($B67,GP_EG_Sectors,0),3),INDEX(GP_EG_T,MATCH($B67,GP_EG_Sectors,0),4),IF(G67&gt;=INDEX(GP_EG_T,MATCH($B67,GP_EG_Sectors,0),5),INDEX(GP_EG_T,MATCH($B67,GP_EG_Sectors,0),6),IF(G67&gt;=INDEX(GP_EG_T,MATCH($B67,GP_EG_Sectors,0),7),INDEX(GP_EG_T,MATCH($B67,GP_EG_Sectors,0),8),IF(G67&gt;=INDEX(GP_EG_T,MATCH($B67,GP_EG_Sectors,0),9),INDEX(GP_EG_T,MATCH($B67,GP_EG_Sectors,0),10),IF(G67&gt;=INDEX(GP_EG_T,MATCH($B67,GP_EG_Sectors,0),11),INDEX(GP_EG_T,MATCH($B67,GP_EG_Sectors,0),12),0))))))))</f>
        <v>100</v>
      </c>
      <c r="Z67">
        <f t="shared" ref="Z67" si="170">IF(OR($B67="",H67=""),"",IF(ISERROR(MATCH($B67,GP_OL_Sectors,0)),0,IF(H67&gt;=INDEX(GP_OL_T,MATCH($B67,GP_OL_Sectors,0),1),INDEX(GP_OL_T,MATCH($B67,GP_OL_Sectors,0),2),IF(H67&gt;=INDEX(GP_OL_T,MATCH($B67,GP_OL_Sectors,0),3),INDEX(GP_OL_T,MATCH($B67,GP_OL_Sectors,0),4),IF(H67&gt;=INDEX(GP_OL_T,MATCH($B67,GP_OL_Sectors,0),5),INDEX(GP_OL_T,MATCH($B67,GP_OL_Sectors,0),6),IF(H67&gt;=INDEX(GP_OL_T,MATCH($B67,GP_OL_Sectors,0),7),INDEX(GP_OL_T,MATCH($B67,GP_OL_Sectors,0),8),IF(H67&gt;=INDEX(GP_OL_T,MATCH($B67,GP_OL_Sectors,0),9),INDEX(GP_OL_T,MATCH($B67,GP_OL_Sectors,0),10),IF(H67&gt;=INDEX(GP_OL_T,MATCH($B67,GP_OL_Sectors,0),11),INDEX(GP_OL_T,MATCH($B67,GP_OL_Sectors,0),12),0))))))))</f>
        <v>100</v>
      </c>
      <c r="AA67">
        <f t="shared" ref="AA67" si="171">IF(OR($B67="",I67=""),"",IF(ISERROR(MATCH($B67,GP_ND_Sectors,0)),0,IF(I67&lt;=INDEX(GP_ND_T,MATCH($B67,GP_ND_Sectors,0),1),INDEX(GP_ND_T,MATCH($B67,GP_ND_Sectors,0),2),IF(I67&lt;=INDEX(GP_ND_T,MATCH($B67,GP_ND_Sectors,0),3),INDEX(GP_ND_T,MATCH($B67,GP_ND_Sectors,0),4),IF(I67&lt;=INDEX(GP_ND_T,MATCH($B67,GP_ND_Sectors,0),5),INDEX(GP_ND_T,MATCH($B67,GP_ND_Sectors,0),6),IF(I67&lt;=INDEX(GP_ND_T,MATCH($B67,GP_ND_Sectors,0),7),INDEX(GP_ND_T,MATCH($B67,GP_ND_Sectors,0),8),IF(I67&lt;=INDEX(GP_ND_T,MATCH($B67,GP_ND_Sectors,0),9),INDEX(GP_ND_T,MATCH($B67,GP_ND_Sectors,0),10),IF(I67&lt;=INDEX(GP_ND_T,MATCH($B67,GP_ND_Sectors,0),11),INDEX(GP_ND_T,MATCH($B67,GP_ND_Sectors,0),12),0))))))))</f>
        <v>100</v>
      </c>
      <c r="AB67">
        <f t="shared" ref="AB67" si="172">IF(OR($B67="",J67=""),"",IF(ISERROR(MATCH($B67,GP_CR_Sectors,0)),0,IF(J67&gt;=INDEX(GP_CR_T,MATCH($B67,GP_CR_Sectors,0),1),INDEX(GP_CR_T,MATCH($B67,GP_CR_Sectors,0),2),IF(J67&gt;=INDEX(GP_CR_T,MATCH($B67,GP_CR_Sectors,0),3),INDEX(GP_CR_T,MATCH($B67,GP_CR_Sectors,0),4),IF(J67&gt;=INDEX(GP_CR_T,MATCH($B67,GP_CR_Sectors,0),5),INDEX(GP_CR_T,MATCH($B67,GP_CR_Sectors,0),6),IF(J67&gt;=INDEX(GP_CR_T,MATCH($B67,GP_CR_Sectors,0),7),INDEX(GP_CR_T,MATCH($B67,GP_CR_Sectors,0),8),IF(J67&gt;=INDEX(GP_CR_T,MATCH($B67,GP_CR_Sectors,0),9),INDEX(GP_CR_T,MATCH($B67,GP_CR_Sectors,0),10),IF(J67&gt;=INDEX(GP_CR_T,MATCH($B67,GP_CR_Sectors,0),11),INDEX(GP_CR_T,MATCH($B67,GP_CR_Sectors,0),12),0))))))))</f>
        <v>100</v>
      </c>
      <c r="AC67">
        <f t="shared" ref="AC67" si="173">IF(OR($B67="",K67=""),"",IF(ISERROR(MATCH($B67,GP_IC_Sectors,0)),0,IF(K67&gt;=INDEX(GP_IC_T,MATCH($B67,GP_IC_Sectors,0),1),INDEX(GP_IC_T,MATCH($B67,GP_IC_Sectors,0),2),IF(K67&gt;=INDEX(GP_IC_T,MATCH($B67,GP_IC_Sectors,0),3),INDEX(GP_IC_T,MATCH($B67,GP_IC_Sectors,0),4),IF(K67&gt;=INDEX(GP_IC_T,MATCH($B67,GP_IC_Sectors,0),5),INDEX(GP_IC_T,MATCH($B67,GP_IC_Sectors,0),6),IF(K67&gt;=INDEX(GP_IC_T,MATCH($B67,GP_IC_Sectors,0),7),INDEX(GP_IC_T,MATCH($B67,GP_IC_Sectors,0),8),IF(K67&gt;=INDEX(GP_IC_T,MATCH($B67,GP_IC_Sectors,0),9),INDEX(GP_IC_T,MATCH($B67,GP_IC_Sectors,0),10),IF(K67&gt;=INDEX(GP_IC_T,MATCH($B67,GP_IC_Sectors,0),11),INDEX(GP_IC_T,MATCH($B67,GP_IC_Sectors,0),12),0))))))))</f>
        <v>100</v>
      </c>
      <c r="AD67">
        <f t="shared" ref="AD67" si="174">IF(OR($B67="",L67=""),"",IF(ISERROR(MATCH($B67,GP_FM_Sectors,0)),0,IF(L67&gt;=INDEX(GP_FM_T,MATCH($B67,GP_FM_Sectors,0),1),INDEX(GP_FM_T,MATCH($B67,GP_FM_Sectors,0),2),IF(L67&gt;=INDEX(GP_FM_T,MATCH($B67,GP_FM_Sectors,0),3),INDEX(GP_FM_T,MATCH($B67,GP_FM_Sectors,0),4),IF(L67&gt;=INDEX(GP_FM_T,MATCH($B67,GP_FM_Sectors,0),5),INDEX(GP_FM_T,MATCH($B67,GP_FM_Sectors,0),6),IF(L67&gt;=INDEX(GP_FM_T,MATCH($B67,GP_FM_Sectors,0),7),INDEX(GP_FM_T,MATCH($B67,GP_FM_Sectors,0),8),IF(L67&gt;=INDEX(GP_FM_T,MATCH($B67,GP_FM_Sectors,0),9),INDEX(GP_FM_T,MATCH($B67,GP_FM_Sectors,0),10),IF(L67&gt;=INDEX(GP_FM_T,MATCH($B67,GP_FM_Sectors,0),11),INDEX(GP_FM_T,MATCH($B67,GP_FM_Sectors,0),12),0))))))))</f>
        <v>100</v>
      </c>
      <c r="AE67">
        <f t="shared" ref="AE67" si="175">IF(OR($B67="",M67=""),"",IF(ISERROR(MATCH($B67,GP_FN_Sectors,0)),0,IF(M67&gt;=INDEX(GP_FN_T,MATCH($B67,GP_FN_Sectors,0),1),INDEX(GP_FN_T,MATCH($B67,GP_FN_Sectors,0),2),IF(M67&gt;=INDEX(GP_FN_T,MATCH($B67,GP_FN_Sectors,0),3),INDEX(GP_FN_T,MATCH($B67,GP_FN_Sectors,0),4),IF(M67&gt;=INDEX(GP_FN_T,MATCH($B67,GP_FN_Sectors,0),5),INDEX(GP_FN_T,MATCH($B67,GP_FN_Sectors,0),6),IF(M67&gt;=INDEX(GP_FN_T,MATCH($B67,GP_FN_Sectors,0),7),INDEX(GP_FN_T,MATCH($B67,GP_FN_Sectors,0),8),IF(M67&gt;=INDEX(GP_FN_T,MATCH($B67,GP_FN_Sectors,0),9),INDEX(GP_FN_T,MATCH($B67,GP_FN_Sectors,0),10),IF(M67&gt;=INDEX(GP_FN_T,MATCH($B67,GP_FN_Sectors,0),11),INDEX(GP_FN_T,MATCH($B67,GP_FN_Sectors,0),12),0))))))))</f>
        <v>100</v>
      </c>
      <c r="AF67">
        <f t="shared" ref="AF67" si="176">IF(OR($B67="",N67=""),"",IF(ISERROR(MATCH($B67,GP_CX_Sectors,0)),0,IF(N67&lt;=INDEX(GP_CX_T,MATCH($B67,GP_CX_Sectors,0),1),INDEX(GP_CX_T,MATCH($B67,GP_CX_Sectors,0),2),IF(N67&lt;=INDEX(GP_CX_T,MATCH($B67,GP_CX_Sectors,0),3),INDEX(GP_CX_T,MATCH($B67,GP_CX_Sectors,0),4),IF(N67&lt;=INDEX(GP_CX_T,MATCH($B67,GP_CX_Sectors,0),5),INDEX(GP_CX_T,MATCH($B67,GP_CX_Sectors,0),6),IF(N67&lt;=INDEX(GP_CX_T,MATCH($B67,GP_CX_Sectors,0),7),INDEX(GP_CX_T,MATCH($B67,GP_CX_Sectors,0),8),IF(N67&lt;=INDEX(GP_CX_T,MATCH($B67,GP_CX_Sectors,0),9),INDEX(GP_CX_T,MATCH($B67,GP_CX_Sectors,0),10),IF(N67&lt;=INDEX(GP_CX_T,MATCH($B67,GP_CX_Sectors,0),11),INDEX(GP_CX_T,MATCH($B67,GP_CX_Sectors,0),12),0))))))))</f>
        <v>100</v>
      </c>
      <c r="AG67">
        <f t="shared" ref="AG67" si="177">IF(OR($B67="",O67=""),"",IF(ISERROR(MATCH($B67,GP_PE_Sectors,0)),0,IF(O67&lt;=INDEX(GP_PE_T,MATCH($B67,GP_PE_Sectors,0),1),INDEX(GP_PE_T,MATCH($B67,GP_PE_Sectors,0),2),IF(O67&lt;=INDEX(GP_PE_T,MATCH($B67,GP_PE_Sectors,0),3),INDEX(GP_PE_T,MATCH($B67,GP_PE_Sectors,0),4),IF(O67&lt;=INDEX(GP_PE_T,MATCH($B67,GP_PE_Sectors,0),5),INDEX(GP_PE_T,MATCH($B67,GP_PE_Sectors,0),6),IF(O67&lt;=INDEX(GP_PE_T,MATCH($B67,GP_PE_Sectors,0),7),INDEX(GP_PE_T,MATCH($B67,GP_PE_Sectors,0),8),IF(O67&lt;=INDEX(GP_PE_T,MATCH($B67,GP_PE_Sectors,0),9),INDEX(GP_PE_T,MATCH($B67,GP_PE_Sectors,0),10),IF(O67&lt;=INDEX(GP_PE_T,MATCH($B67,GP_PE_Sectors,0),11),INDEX(GP_PE_T,MATCH($B67,GP_PE_Sectors,0),12),0))))))))</f>
        <v>30</v>
      </c>
      <c r="AH67">
        <f t="shared" ref="AH67" si="178">IF(OR($B67="",P67=""),"",IF(ISERROR(MATCH($B67,GP_EV_Sectors,0)),0,IF(P67&lt;=INDEX(GP_EV_T,MATCH($B67,GP_EV_Sectors,0),1),INDEX(GP_EV_T,MATCH($B67,GP_EV_Sectors,0),2),IF(P67&lt;=INDEX(GP_EV_T,MATCH($B67,GP_EV_Sectors,0),3),INDEX(GP_EV_T,MATCH($B67,GP_EV_Sectors,0),4),IF(P67&lt;=INDEX(GP_EV_T,MATCH($B67,GP_EV_Sectors,0),5),INDEX(GP_EV_T,MATCH($B67,GP_EV_Sectors,0),6),IF(P67&lt;=INDEX(GP_EV_T,MATCH($B67,GP_EV_Sectors,0),7),INDEX(GP_EV_T,MATCH($B67,GP_EV_Sectors,0),8),IF(P67&lt;=INDEX(GP_EV_T,MATCH($B67,GP_EV_Sectors,0),9),INDEX(GP_EV_T,MATCH($B67,GP_EV_Sectors,0),10),IF(P67&lt;=INDEX(GP_EV_T,MATCH($B67,GP_EV_Sectors,0),11),INDEX(GP_EV_T,MATCH($B67,GP_EV_Sectors,0),12),0))))))))</f>
        <v>12</v>
      </c>
      <c r="AI67">
        <f t="shared" ref="AI67" si="179">IF(OR($B67="",Q67=""),"",IF(ISERROR(MATCH($B67,GP_PF_Sectors,0)),0,IF(Q67&lt;=INDEX(GP_PF_T,MATCH($B67,GP_PF_Sectors,0),1),INDEX(GP_PF_T,MATCH($B67,GP_PF_Sectors,0),2),IF(Q67&lt;=INDEX(GP_PF_T,MATCH($B67,GP_PF_Sectors,0),3),INDEX(GP_PF_T,MATCH($B67,GP_PF_Sectors,0),4),IF(Q67&lt;=INDEX(GP_PF_T,MATCH($B67,GP_PF_Sectors,0),5),INDEX(GP_PF_T,MATCH($B67,GP_PF_Sectors,0),6),IF(Q67&lt;=INDEX(GP_PF_T,MATCH($B67,GP_PF_Sectors,0),7),INDEX(GP_PF_T,MATCH($B67,GP_PF_Sectors,0),8),IF(Q67&lt;=INDEX(GP_PF_T,MATCH($B67,GP_PF_Sectors,0),9),INDEX(GP_PF_T,MATCH($B67,GP_PF_Sectors,0),10),IF(Q67&lt;=INDEX(GP_PF_T,MATCH($B67,GP_PF_Sectors,0),11),INDEX(GP_PF_T,MATCH($B67,GP_PF_Sectors,0),12),0))))))))</f>
        <v>48</v>
      </c>
      <c r="AJ67">
        <f t="shared" ref="AJ67" si="180">IF(OR($B67="",R67=""),"",IF(ISERROR(MATCH($B67,GP_DY_Sectors,0)),0,IF(R67&gt;=INDEX(GP_DY_T,MATCH($B67,GP_DY_Sectors,0),1),INDEX(GP_DY_T,MATCH($B67,GP_DY_Sectors,0),2),IF(R67&gt;=INDEX(GP_DY_T,MATCH($B67,GP_DY_Sectors,0),3),INDEX(GP_DY_T,MATCH($B67,GP_DY_Sectors,0),4),IF(R67&gt;=INDEX(GP_DY_T,MATCH($B67,GP_DY_Sectors,0),5),INDEX(GP_DY_T,MATCH($B67,GP_DY_Sectors,0),6),IF(R67&gt;=INDEX(GP_DY_T,MATCH($B67,GP_DY_Sectors,0),7),INDEX(GP_DY_T,MATCH($B67,GP_DY_Sectors,0),8),IF(R67&gt;=INDEX(GP_DY_T,MATCH($B67,GP_DY_Sectors,0),9),INDEX(GP_DY_T,MATCH($B67,GP_DY_Sectors,0),10),IF(R67&gt;=INDEX(GP_DY_T,MATCH($B67,GP_DY_Sectors,0),11),INDEX(GP_DY_T,MATCH($B67,GP_DY_Sectors,0),12),0))))))))</f>
        <v>5</v>
      </c>
      <c r="AK67">
        <f t="shared" ref="AK67" si="181">IF(OR($B67="",S67=""),"",IF(ISERROR(MATCH($B67,GP_PR_Sectors,0)),0,IF(S67&gt;=INDEX(GP_PR_T,MATCH($B67,GP_PR_Sectors,0),1),INDEX(GP_PR_T,MATCH($B67,GP_PR_Sectors,0),2),IF(S67&gt;=INDEX(GP_PR_T,MATCH($B67,GP_PR_Sectors,0),3),INDEX(GP_PR_T,MATCH($B67,GP_PR_Sectors,0),4),IF(S67&gt;=INDEX(GP_PR_T,MATCH($B67,GP_PR_Sectors,0),5),INDEX(GP_PR_T,MATCH($B67,GP_PR_Sectors,0),6),IF(S67&gt;=INDEX(GP_PR_T,MATCH($B67,GP_PR_Sectors,0),7),INDEX(GP_PR_T,MATCH($B67,GP_PR_Sectors,0),8),IF(S67&gt;=INDEX(GP_PR_T,MATCH($B67,GP_PR_Sectors,0),9),INDEX(GP_PR_T,MATCH($B67,GP_PR_Sectors,0),10),IF(S67&gt;=INDEX(GP_PR_T,MATCH($B67,GP_PR_Sectors,0),11),INDEX(GP_PR_T,MATCH($B67,GP_PR_Sectors,0),12),0))))))))</f>
        <v>0</v>
      </c>
      <c r="AL67">
        <f t="shared" ref="AL67" si="182">IF(OR($B67="",T67=""),"",IF(ISERROR(MATCH($B67,GP_BY_Sectors,0)),0,IF(T67&gt;=INDEX(GP_BY_T,MATCH($B67,GP_BY_Sectors,0),1),INDEX(GP_BY_T,MATCH($B67,GP_BY_Sectors,0),2),IF(T67&gt;=INDEX(GP_BY_T,MATCH($B67,GP_BY_Sectors,0),3),INDEX(GP_BY_T,MATCH($B67,GP_BY_Sectors,0),4),IF(T67&gt;=INDEX(GP_BY_T,MATCH($B67,GP_BY_Sectors,0),5),INDEX(GP_BY_T,MATCH($B67,GP_BY_Sectors,0),6),IF(T67&gt;=INDEX(GP_BY_T,MATCH($B67,GP_BY_Sectors,0),7),INDEX(GP_BY_T,MATCH($B67,GP_BY_Sectors,0),8),IF(T67&gt;=INDEX(GP_BY_T,MATCH($B67,GP_BY_Sectors,0),9),INDEX(GP_BY_T,MATCH($B67,GP_BY_Sectors,0),10),IF(T67&gt;=INDEX(GP_BY_T,MATCH($B67,GP_BY_Sectors,0),11),INDEX(GP_BY_T,MATCH($B67,GP_BY_Sectors,0),12),0))))))))</f>
        <v>10</v>
      </c>
      <c r="AM67">
        <f t="shared" ref="AM67" si="183">IF($B67="","",U67*0.35+V67*0.35+W67*0.3)</f>
        <v>95.8</v>
      </c>
      <c r="AN67">
        <f t="shared" ref="AN67" si="184">IF($B67="","",X67*0.4+Y67*0.35+Z67*0.25)</f>
        <v>100</v>
      </c>
      <c r="AO67">
        <f t="shared" ref="AO67" si="185">IF($B67="","",AA67*0.35+AB67*0.3+AC67*0.35)</f>
        <v>100</v>
      </c>
      <c r="AP67">
        <f t="shared" ref="AP67" si="186">IF($B67="","",AD67*0.4+AE67*0.35+AF67*0.25)</f>
        <v>100</v>
      </c>
      <c r="AQ67">
        <f t="shared" ref="AQ67" si="187">IF($B67="","",AG67*0.35+AH67*0.35+AI67*0.3)</f>
        <v>29.099999999999998</v>
      </c>
      <c r="AR67">
        <f t="shared" si="41"/>
        <v>5.75</v>
      </c>
      <c r="AS67">
        <f t="shared" ref="AS67" si="188">IF($B67="","",MIN(100,MAX(0,ROUND(AM67*INDEX(GP_W_P1,MATCH($B67,GP_Weights_Sectors,0))+AN67*INDEX(GP_W_P2,MATCH($B67,GP_Weights_Sectors,0))+AO67*INDEX(GP_W_P3,MATCH($B67,GP_Weights_Sectors,0))+AP67*INDEX(GP_W_P4,MATCH($B67,GP_Weights_Sectors,0))+AQ67*INDEX(GP_W_P5,MATCH($B67,GP_Weights_Sectors,0))+AR67*INDEX(GP_W_P6,MATCH($B67,GP_Weights_Sectors,0)),0))))</f>
        <v>79</v>
      </c>
      <c r="AT67">
        <v>3</v>
      </c>
      <c r="AU67" s="12">
        <v>3</v>
      </c>
      <c r="AV67" s="12">
        <v>3</v>
      </c>
      <c r="AW67">
        <v>3</v>
      </c>
      <c r="AX67" s="38" t="e" vm="64">
        <v>#VALUE!</v>
      </c>
      <c r="AY67" s="59" cm="1">
        <f t="array" aca="1" ref="AY67" ca="1">_FV(AX67,"PRECIO")</f>
        <v>122.55</v>
      </c>
      <c r="AZ67" s="37">
        <v>175</v>
      </c>
      <c r="BB67" s="58">
        <f t="shared" ref="BB67:BB69" ca="1" si="189">IF(OR(AY67="",AZ67=""),"",(AZ67-AY67)/AY67)</f>
        <v>0.42798857609139129</v>
      </c>
      <c r="BD67">
        <v>0.01</v>
      </c>
      <c r="BE67">
        <v>58</v>
      </c>
      <c r="BF67">
        <v>-0.08</v>
      </c>
      <c r="BG67">
        <f t="shared" ref="BG67:BG69" si="190">IF(BD67&gt;0.1,100,IF(BD67&gt;0.05,80,IF(BD67&gt;0,65,IF(BD67&gt;-0.05,45,IF(BD67&gt;-0.1,25,10)))))</f>
        <v>65</v>
      </c>
      <c r="BH67">
        <f t="shared" ref="BH67:BH69" si="191">IF(AND(BE67&gt;=40,BE67&lt;=60),70,IF(AND(BE67&gt;60,BE67&lt;=70),85,IF(BE67&gt;70,50,IF(AND(BE67&gt;=30,BE67&lt;40),55,40))))</f>
        <v>70</v>
      </c>
      <c r="BI67">
        <f t="shared" ref="BI67:BI69" si="192">IF(BF67&gt;0.2,100,IF(BF67&gt;0.1,80,IF(BF67&gt;0,65,IF(BF67&gt;-0.1,45,IF(BF67&gt;-0.2,25,10)))))</f>
        <v>45</v>
      </c>
      <c r="BJ67">
        <f t="shared" ref="BJ67:BJ69" si="193">ROUND(BG67*0.4+BH67*0.25+BI67*0.35,1)</f>
        <v>59.3</v>
      </c>
      <c r="BK67">
        <f t="shared" ref="BK67:BK69" si="194">IF(OR(AS67="",AQ67="",BJ67=""),"",ROUND(AS67*0.4+MAX(15,MIN(90,AQ67))*0.2+BJ67*0.25+MIN(100,MAX(0,AW67*10))*0.15,0))</f>
        <v>57</v>
      </c>
      <c r="BL67" t="str">
        <f t="shared" ref="BL67:BL69" si="195">IF(BK67="","",IF(BK67&gt;=85,"🟢 STRONG",IF(BK67&gt;=70,"🟡 FAVORABLE",IF(BK67&gt;=55,"⚪ NEUTRAL",IF(BK67&gt;=40,"🟠 WEAK","🔴 AVOID")))))</f>
        <v>⚪ NEUTRAL</v>
      </c>
      <c r="BM67" s="49" t="str">
        <f t="shared" ref="BM67:BM69" si="196">IF(BK67="","",IF(AND(BK67&gt;=75,BJ67&gt;=70,AW67&gt;=6),"🚀 STRONG BUY",IF(AND(BK67&gt;=65,BJ67&gt;=55),"✅ BUY",IF(BK67&gt;=55,"⚠️ HOLD",IF(OR(BK67&lt;45,AND(BJ67&lt;35,AW67&lt;3)),"🔴 SELL","🟠 UNDERWEIGHT")))))</f>
        <v>⚠️ HOLD</v>
      </c>
    </row>
    <row r="68" spans="1:65" x14ac:dyDescent="0.4">
      <c r="A68" t="s">
        <v>320</v>
      </c>
      <c r="B68" t="s">
        <v>44</v>
      </c>
      <c r="C68" s="1">
        <v>0.22869999999999999</v>
      </c>
      <c r="D68" s="1">
        <v>0.48759999999999998</v>
      </c>
      <c r="E68" s="1">
        <v>0.26629999999999998</v>
      </c>
      <c r="F68" s="1">
        <v>2</v>
      </c>
      <c r="G68" s="1">
        <v>5</v>
      </c>
      <c r="H68">
        <v>3</v>
      </c>
      <c r="I68">
        <v>-3.5</v>
      </c>
      <c r="J68">
        <v>8.86</v>
      </c>
      <c r="K68">
        <v>500</v>
      </c>
      <c r="L68">
        <v>7.0000000000000007E-2</v>
      </c>
      <c r="M68">
        <v>0.3</v>
      </c>
      <c r="N68">
        <v>4.4999999999999998E-2</v>
      </c>
      <c r="O68">
        <v>28.53</v>
      </c>
      <c r="P68">
        <v>88.31</v>
      </c>
      <c r="Q68">
        <v>138.44</v>
      </c>
      <c r="R68">
        <v>0</v>
      </c>
      <c r="S68">
        <v>0</v>
      </c>
      <c r="T68">
        <v>0</v>
      </c>
      <c r="U68">
        <f t="shared" ref="U68:U69" si="197">IF(OR($B68="",C68=""),"",IF(ISERROR(MATCH($B68,GP_ROE_Sectors,0)),0,IF(C68&gt;=INDEX(GP_ROE_T,MATCH($B68,GP_ROE_Sectors,0),1),INDEX(GP_ROE_T,MATCH($B68,GP_ROE_Sectors,0),2),IF(C68&gt;=INDEX(GP_ROE_T,MATCH($B68,GP_ROE_Sectors,0),3),INDEX(GP_ROE_T,MATCH($B68,GP_ROE_Sectors,0),4),IF(C68&gt;=INDEX(GP_ROE_T,MATCH($B68,GP_ROE_Sectors,0),5),INDEX(GP_ROE_T,MATCH($B68,GP_ROE_Sectors,0),6),IF(C68&gt;=INDEX(GP_ROE_T,MATCH($B68,GP_ROE_Sectors,0),7),INDEX(GP_ROE_T,MATCH($B68,GP_ROE_Sectors,0),8),IF(C68&gt;=INDEX(GP_ROE_T,MATCH($B68,GP_ROE_Sectors,0),9),INDEX(GP_ROE_T,MATCH($B68,GP_ROE_Sectors,0),10),IF(C68&gt;=INDEX(GP_ROE_T,MATCH($B68,GP_ROE_Sectors,0),11),INDEX(GP_ROE_T,MATCH($B68,GP_ROE_Sectors,0),12),0))))))))</f>
        <v>88</v>
      </c>
      <c r="V68">
        <f t="shared" ref="V68:V69" si="198">IF(OR($B68="",D68=""),"",IF(ISERROR(MATCH($B68,GP_ROIC_Sectors,0)),0,IF(D68&gt;=INDEX(GP_ROIC_T,MATCH($B68,GP_ROIC_Sectors,0),1),INDEX(GP_ROIC_T,MATCH($B68,GP_ROIC_Sectors,0),2),IF(D68&gt;=INDEX(GP_ROIC_T,MATCH($B68,GP_ROIC_Sectors,0),3),INDEX(GP_ROIC_T,MATCH($B68,GP_ROIC_Sectors,0),4),IF(D68&gt;=INDEX(GP_ROIC_T,MATCH($B68,GP_ROIC_Sectors,0),5),INDEX(GP_ROIC_T,MATCH($B68,GP_ROIC_Sectors,0),6),IF(D68&gt;=INDEX(GP_ROIC_T,MATCH($B68,GP_ROIC_Sectors,0),7),INDEX(GP_ROIC_T,MATCH($B68,GP_ROIC_Sectors,0),8),IF(D68&gt;=INDEX(GP_ROIC_T,MATCH($B68,GP_ROIC_Sectors,0),9),INDEX(GP_ROIC_T,MATCH($B68,GP_ROIC_Sectors,0),10),IF(D68&gt;=INDEX(GP_ROIC_T,MATCH($B68,GP_ROIC_Sectors,0),11),INDEX(GP_ROIC_T,MATCH($B68,GP_ROIC_Sectors,0),12),0))))))))</f>
        <v>100</v>
      </c>
      <c r="W68">
        <f t="shared" ref="W68:W69" si="199">IF(OR($B68="",E68=""),"",IF(ISERROR(MATCH($B68,GP_NM_Sectors,0)),0,IF(E68&gt;=INDEX(GP_NM_T,MATCH($B68,GP_NM_Sectors,0),1),INDEX(GP_NM_T,MATCH($B68,GP_NM_Sectors,0),2),IF(E68&gt;=INDEX(GP_NM_T,MATCH($B68,GP_NM_Sectors,0),3),INDEX(GP_NM_T,MATCH($B68,GP_NM_Sectors,0),4),IF(E68&gt;=INDEX(GP_NM_T,MATCH($B68,GP_NM_Sectors,0),5),INDEX(GP_NM_T,MATCH($B68,GP_NM_Sectors,0),6),IF(E68&gt;=INDEX(GP_NM_T,MATCH($B68,GP_NM_Sectors,0),7),INDEX(GP_NM_T,MATCH($B68,GP_NM_Sectors,0),8),IF(E68&gt;=INDEX(GP_NM_T,MATCH($B68,GP_NM_Sectors,0),9),INDEX(GP_NM_T,MATCH($B68,GP_NM_Sectors,0),10),IF(E68&gt;=INDEX(GP_NM_T,MATCH($B68,GP_NM_Sectors,0),11),INDEX(GP_NM_T,MATCH($B68,GP_NM_Sectors,0),12),0))))))))</f>
        <v>100</v>
      </c>
      <c r="X68">
        <f t="shared" ref="X68:X69" si="200">IF(OR($B68="",F68=""),"",IF(ISERROR(MATCH($B68,GP_RG_Sectors,0)),0,IF(F68&gt;=INDEX(GP_RG_T,MATCH($B68,GP_RG_Sectors,0),1),INDEX(GP_RG_T,MATCH($B68,GP_RG_Sectors,0),2),IF(F68&gt;=INDEX(GP_RG_T,MATCH($B68,GP_RG_Sectors,0),3),INDEX(GP_RG_T,MATCH($B68,GP_RG_Sectors,0),4),IF(F68&gt;=INDEX(GP_RG_T,MATCH($B68,GP_RG_Sectors,0),5),INDEX(GP_RG_T,MATCH($B68,GP_RG_Sectors,0),6),IF(F68&gt;=INDEX(GP_RG_T,MATCH($B68,GP_RG_Sectors,0),7),INDEX(GP_RG_T,MATCH($B68,GP_RG_Sectors,0),8),IF(F68&gt;=INDEX(GP_RG_T,MATCH($B68,GP_RG_Sectors,0),9),INDEX(GP_RG_T,MATCH($B68,GP_RG_Sectors,0),10),IF(F68&gt;=INDEX(GP_RG_T,MATCH($B68,GP_RG_Sectors,0),11),INDEX(GP_RG_T,MATCH($B68,GP_RG_Sectors,0),12),0))))))))</f>
        <v>100</v>
      </c>
      <c r="Y68">
        <f t="shared" ref="Y68:Y69" si="201">IF(OR($B68="",G68=""),"",IF(ISERROR(MATCH($B68,GP_EG_Sectors,0)),0,IF(G68&gt;=INDEX(GP_EG_T,MATCH($B68,GP_EG_Sectors,0),1),INDEX(GP_EG_T,MATCH($B68,GP_EG_Sectors,0),2),IF(G68&gt;=INDEX(GP_EG_T,MATCH($B68,GP_EG_Sectors,0),3),INDEX(GP_EG_T,MATCH($B68,GP_EG_Sectors,0),4),IF(G68&gt;=INDEX(GP_EG_T,MATCH($B68,GP_EG_Sectors,0),5),INDEX(GP_EG_T,MATCH($B68,GP_EG_Sectors,0),6),IF(G68&gt;=INDEX(GP_EG_T,MATCH($B68,GP_EG_Sectors,0),7),INDEX(GP_EG_T,MATCH($B68,GP_EG_Sectors,0),8),IF(G68&gt;=INDEX(GP_EG_T,MATCH($B68,GP_EG_Sectors,0),9),INDEX(GP_EG_T,MATCH($B68,GP_EG_Sectors,0),10),IF(G68&gt;=INDEX(GP_EG_T,MATCH($B68,GP_EG_Sectors,0),11),INDEX(GP_EG_T,MATCH($B68,GP_EG_Sectors,0),12),0))))))))</f>
        <v>100</v>
      </c>
      <c r="Z68">
        <f t="shared" ref="Z68:Z69" si="202">IF(OR($B68="",H68=""),"",IF(ISERROR(MATCH($B68,GP_OL_Sectors,0)),0,IF(H68&gt;=INDEX(GP_OL_T,MATCH($B68,GP_OL_Sectors,0),1),INDEX(GP_OL_T,MATCH($B68,GP_OL_Sectors,0),2),IF(H68&gt;=INDEX(GP_OL_T,MATCH($B68,GP_OL_Sectors,0),3),INDEX(GP_OL_T,MATCH($B68,GP_OL_Sectors,0),4),IF(H68&gt;=INDEX(GP_OL_T,MATCH($B68,GP_OL_Sectors,0),5),INDEX(GP_OL_T,MATCH($B68,GP_OL_Sectors,0),6),IF(H68&gt;=INDEX(GP_OL_T,MATCH($B68,GP_OL_Sectors,0),7),INDEX(GP_OL_T,MATCH($B68,GP_OL_Sectors,0),8),IF(H68&gt;=INDEX(GP_OL_T,MATCH($B68,GP_OL_Sectors,0),9),INDEX(GP_OL_T,MATCH($B68,GP_OL_Sectors,0),10),IF(H68&gt;=INDEX(GP_OL_T,MATCH($B68,GP_OL_Sectors,0),11),INDEX(GP_OL_T,MATCH($B68,GP_OL_Sectors,0),12),0))))))))</f>
        <v>100</v>
      </c>
      <c r="AA68">
        <f t="shared" ref="AA68:AA69" si="203">IF(OR($B68="",I68=""),"",IF(ISERROR(MATCH($B68,GP_ND_Sectors,0)),0,IF(I68&lt;=INDEX(GP_ND_T,MATCH($B68,GP_ND_Sectors,0),1),INDEX(GP_ND_T,MATCH($B68,GP_ND_Sectors,0),2),IF(I68&lt;=INDEX(GP_ND_T,MATCH($B68,GP_ND_Sectors,0),3),INDEX(GP_ND_T,MATCH($B68,GP_ND_Sectors,0),4),IF(I68&lt;=INDEX(GP_ND_T,MATCH($B68,GP_ND_Sectors,0),5),INDEX(GP_ND_T,MATCH($B68,GP_ND_Sectors,0),6),IF(I68&lt;=INDEX(GP_ND_T,MATCH($B68,GP_ND_Sectors,0),7),INDEX(GP_ND_T,MATCH($B68,GP_ND_Sectors,0),8),IF(I68&lt;=INDEX(GP_ND_T,MATCH($B68,GP_ND_Sectors,0),9),INDEX(GP_ND_T,MATCH($B68,GP_ND_Sectors,0),10),IF(I68&lt;=INDEX(GP_ND_T,MATCH($B68,GP_ND_Sectors,0),11),INDEX(GP_ND_T,MATCH($B68,GP_ND_Sectors,0),12),0))))))))</f>
        <v>100</v>
      </c>
      <c r="AB68">
        <f t="shared" ref="AB68:AB69" si="204">IF(OR($B68="",J68=""),"",IF(ISERROR(MATCH($B68,GP_CR_Sectors,0)),0,IF(J68&gt;=INDEX(GP_CR_T,MATCH($B68,GP_CR_Sectors,0),1),INDEX(GP_CR_T,MATCH($B68,GP_CR_Sectors,0),2),IF(J68&gt;=INDEX(GP_CR_T,MATCH($B68,GP_CR_Sectors,0),3),INDEX(GP_CR_T,MATCH($B68,GP_CR_Sectors,0),4),IF(J68&gt;=INDEX(GP_CR_T,MATCH($B68,GP_CR_Sectors,0),5),INDEX(GP_CR_T,MATCH($B68,GP_CR_Sectors,0),6),IF(J68&gt;=INDEX(GP_CR_T,MATCH($B68,GP_CR_Sectors,0),7),INDEX(GP_CR_T,MATCH($B68,GP_CR_Sectors,0),8),IF(J68&gt;=INDEX(GP_CR_T,MATCH($B68,GP_CR_Sectors,0),9),INDEX(GP_CR_T,MATCH($B68,GP_CR_Sectors,0),10),IF(J68&gt;=INDEX(GP_CR_T,MATCH($B68,GP_CR_Sectors,0),11),INDEX(GP_CR_T,MATCH($B68,GP_CR_Sectors,0),12),0))))))))</f>
        <v>100</v>
      </c>
      <c r="AC68">
        <f t="shared" ref="AC68:AC69" si="205">IF(OR($B68="",K68=""),"",IF(ISERROR(MATCH($B68,GP_IC_Sectors,0)),0,IF(K68&gt;=INDEX(GP_IC_T,MATCH($B68,GP_IC_Sectors,0),1),INDEX(GP_IC_T,MATCH($B68,GP_IC_Sectors,0),2),IF(K68&gt;=INDEX(GP_IC_T,MATCH($B68,GP_IC_Sectors,0),3),INDEX(GP_IC_T,MATCH($B68,GP_IC_Sectors,0),4),IF(K68&gt;=INDEX(GP_IC_T,MATCH($B68,GP_IC_Sectors,0),5),INDEX(GP_IC_T,MATCH($B68,GP_IC_Sectors,0),6),IF(K68&gt;=INDEX(GP_IC_T,MATCH($B68,GP_IC_Sectors,0),7),INDEX(GP_IC_T,MATCH($B68,GP_IC_Sectors,0),8),IF(K68&gt;=INDEX(GP_IC_T,MATCH($B68,GP_IC_Sectors,0),9),INDEX(GP_IC_T,MATCH($B68,GP_IC_Sectors,0),10),IF(K68&gt;=INDEX(GP_IC_T,MATCH($B68,GP_IC_Sectors,0),11),INDEX(GP_IC_T,MATCH($B68,GP_IC_Sectors,0),12),0))))))))</f>
        <v>100</v>
      </c>
      <c r="AD68">
        <f t="shared" ref="AD68:AD69" si="206">IF(OR($B68="",L68=""),"",IF(ISERROR(MATCH($B68,GP_FM_Sectors,0)),0,IF(L68&gt;=INDEX(GP_FM_T,MATCH($B68,GP_FM_Sectors,0),1),INDEX(GP_FM_T,MATCH($B68,GP_FM_Sectors,0),2),IF(L68&gt;=INDEX(GP_FM_T,MATCH($B68,GP_FM_Sectors,0),3),INDEX(GP_FM_T,MATCH($B68,GP_FM_Sectors,0),4),IF(L68&gt;=INDEX(GP_FM_T,MATCH($B68,GP_FM_Sectors,0),5),INDEX(GP_FM_T,MATCH($B68,GP_FM_Sectors,0),6),IF(L68&gt;=INDEX(GP_FM_T,MATCH($B68,GP_FM_Sectors,0),7),INDEX(GP_FM_T,MATCH($B68,GP_FM_Sectors,0),8),IF(L68&gt;=INDEX(GP_FM_T,MATCH($B68,GP_FM_Sectors,0),9),INDEX(GP_FM_T,MATCH($B68,GP_FM_Sectors,0),10),IF(L68&gt;=INDEX(GP_FM_T,MATCH($B68,GP_FM_Sectors,0),11),INDEX(GP_FM_T,MATCH($B68,GP_FM_Sectors,0),12),0))))))))</f>
        <v>55</v>
      </c>
      <c r="AE68">
        <f t="shared" ref="AE68:AE69" si="207">IF(OR($B68="",M68=""),"",IF(ISERROR(MATCH($B68,GP_FN_Sectors,0)),0,IF(M68&gt;=INDEX(GP_FN_T,MATCH($B68,GP_FN_Sectors,0),1),INDEX(GP_FN_T,MATCH($B68,GP_FN_Sectors,0),2),IF(M68&gt;=INDEX(GP_FN_T,MATCH($B68,GP_FN_Sectors,0),3),INDEX(GP_FN_T,MATCH($B68,GP_FN_Sectors,0),4),IF(M68&gt;=INDEX(GP_FN_T,MATCH($B68,GP_FN_Sectors,0),5),INDEX(GP_FN_T,MATCH($B68,GP_FN_Sectors,0),6),IF(M68&gt;=INDEX(GP_FN_T,MATCH($B68,GP_FN_Sectors,0),7),INDEX(GP_FN_T,MATCH($B68,GP_FN_Sectors,0),8),IF(M68&gt;=INDEX(GP_FN_T,MATCH($B68,GP_FN_Sectors,0),9),INDEX(GP_FN_T,MATCH($B68,GP_FN_Sectors,0),10),IF(M68&gt;=INDEX(GP_FN_T,MATCH($B68,GP_FN_Sectors,0),11),INDEX(GP_FN_T,MATCH($B68,GP_FN_Sectors,0),12),0))))))))</f>
        <v>15</v>
      </c>
      <c r="AF68">
        <f t="shared" ref="AF68:AF69" si="208">IF(OR($B68="",N68=""),"",IF(ISERROR(MATCH($B68,GP_CX_Sectors,0)),0,IF(N68&lt;=INDEX(GP_CX_T,MATCH($B68,GP_CX_Sectors,0),1),INDEX(GP_CX_T,MATCH($B68,GP_CX_Sectors,0),2),IF(N68&lt;=INDEX(GP_CX_T,MATCH($B68,GP_CX_Sectors,0),3),INDEX(GP_CX_T,MATCH($B68,GP_CX_Sectors,0),4),IF(N68&lt;=INDEX(GP_CX_T,MATCH($B68,GP_CX_Sectors,0),5),INDEX(GP_CX_T,MATCH($B68,GP_CX_Sectors,0),6),IF(N68&lt;=INDEX(GP_CX_T,MATCH($B68,GP_CX_Sectors,0),7),INDEX(GP_CX_T,MATCH($B68,GP_CX_Sectors,0),8),IF(N68&lt;=INDEX(GP_CX_T,MATCH($B68,GP_CX_Sectors,0),9),INDEX(GP_CX_T,MATCH($B68,GP_CX_Sectors,0),10),IF(N68&lt;=INDEX(GP_CX_T,MATCH($B68,GP_CX_Sectors,0),11),INDEX(GP_CX_T,MATCH($B68,GP_CX_Sectors,0),12),0))))))))</f>
        <v>85</v>
      </c>
      <c r="AG68">
        <f t="shared" ref="AG68:AG69" si="209">IF(OR($B68="",O68=""),"",IF(ISERROR(MATCH($B68,GP_PE_Sectors,0)),0,IF(O68&lt;=INDEX(GP_PE_T,MATCH($B68,GP_PE_Sectors,0),1),INDEX(GP_PE_T,MATCH($B68,GP_PE_Sectors,0),2),IF(O68&lt;=INDEX(GP_PE_T,MATCH($B68,GP_PE_Sectors,0),3),INDEX(GP_PE_T,MATCH($B68,GP_PE_Sectors,0),4),IF(O68&lt;=INDEX(GP_PE_T,MATCH($B68,GP_PE_Sectors,0),5),INDEX(GP_PE_T,MATCH($B68,GP_PE_Sectors,0),6),IF(O68&lt;=INDEX(GP_PE_T,MATCH($B68,GP_PE_Sectors,0),7),INDEX(GP_PE_T,MATCH($B68,GP_PE_Sectors,0),8),IF(O68&lt;=INDEX(GP_PE_T,MATCH($B68,GP_PE_Sectors,0),9),INDEX(GP_PE_T,MATCH($B68,GP_PE_Sectors,0),10),IF(O68&lt;=INDEX(GP_PE_T,MATCH($B68,GP_PE_Sectors,0),11),INDEX(GP_PE_T,MATCH($B68,GP_PE_Sectors,0),12),0))))))))</f>
        <v>48</v>
      </c>
      <c r="AH68">
        <f t="shared" ref="AH68:AH69" si="210">IF(OR($B68="",P68=""),"",IF(ISERROR(MATCH($B68,GP_EV_Sectors,0)),0,IF(P68&lt;=INDEX(GP_EV_T,MATCH($B68,GP_EV_Sectors,0),1),INDEX(GP_EV_T,MATCH($B68,GP_EV_Sectors,0),2),IF(P68&lt;=INDEX(GP_EV_T,MATCH($B68,GP_EV_Sectors,0),3),INDEX(GP_EV_T,MATCH($B68,GP_EV_Sectors,0),4),IF(P68&lt;=INDEX(GP_EV_T,MATCH($B68,GP_EV_Sectors,0),5),INDEX(GP_EV_T,MATCH($B68,GP_EV_Sectors,0),6),IF(P68&lt;=INDEX(GP_EV_T,MATCH($B68,GP_EV_Sectors,0),7),INDEX(GP_EV_T,MATCH($B68,GP_EV_Sectors,0),8),IF(P68&lt;=INDEX(GP_EV_T,MATCH($B68,GP_EV_Sectors,0),9),INDEX(GP_EV_T,MATCH($B68,GP_EV_Sectors,0),10),IF(P68&lt;=INDEX(GP_EV_T,MATCH($B68,GP_EV_Sectors,0),11),INDEX(GP_EV_T,MATCH($B68,GP_EV_Sectors,0),12),0))))))))</f>
        <v>0</v>
      </c>
      <c r="AI68">
        <f t="shared" ref="AI68:AI69" si="211">IF(OR($B68="",Q68=""),"",IF(ISERROR(MATCH($B68,GP_PF_Sectors,0)),0,IF(Q68&lt;=INDEX(GP_PF_T,MATCH($B68,GP_PF_Sectors,0),1),INDEX(GP_PF_T,MATCH($B68,GP_PF_Sectors,0),2),IF(Q68&lt;=INDEX(GP_PF_T,MATCH($B68,GP_PF_Sectors,0),3),INDEX(GP_PF_T,MATCH($B68,GP_PF_Sectors,0),4),IF(Q68&lt;=INDEX(GP_PF_T,MATCH($B68,GP_PF_Sectors,0),5),INDEX(GP_PF_T,MATCH($B68,GP_PF_Sectors,0),6),IF(Q68&lt;=INDEX(GP_PF_T,MATCH($B68,GP_PF_Sectors,0),7),INDEX(GP_PF_T,MATCH($B68,GP_PF_Sectors,0),8),IF(Q68&lt;=INDEX(GP_PF_T,MATCH($B68,GP_PF_Sectors,0),9),INDEX(GP_PF_T,MATCH($B68,GP_PF_Sectors,0),10),IF(Q68&lt;=INDEX(GP_PF_T,MATCH($B68,GP_PF_Sectors,0),11),INDEX(GP_PF_T,MATCH($B68,GP_PF_Sectors,0),12),0))))))))</f>
        <v>0</v>
      </c>
      <c r="AJ68">
        <f t="shared" ref="AJ68:AJ69" si="212">IF(OR($B68="",R68=""),"",IF(ISERROR(MATCH($B68,GP_DY_Sectors,0)),0,IF(R68&gt;=INDEX(GP_DY_T,MATCH($B68,GP_DY_Sectors,0),1),INDEX(GP_DY_T,MATCH($B68,GP_DY_Sectors,0),2),IF(R68&gt;=INDEX(GP_DY_T,MATCH($B68,GP_DY_Sectors,0),3),INDEX(GP_DY_T,MATCH($B68,GP_DY_Sectors,0),4),IF(R68&gt;=INDEX(GP_DY_T,MATCH($B68,GP_DY_Sectors,0),5),INDEX(GP_DY_T,MATCH($B68,GP_DY_Sectors,0),6),IF(R68&gt;=INDEX(GP_DY_T,MATCH($B68,GP_DY_Sectors,0),7),INDEX(GP_DY_T,MATCH($B68,GP_DY_Sectors,0),8),IF(R68&gt;=INDEX(GP_DY_T,MATCH($B68,GP_DY_Sectors,0),9),INDEX(GP_DY_T,MATCH($B68,GP_DY_Sectors,0),10),IF(R68&gt;=INDEX(GP_DY_T,MATCH($B68,GP_DY_Sectors,0),11),INDEX(GP_DY_T,MATCH($B68,GP_DY_Sectors,0),12),0))))))))</f>
        <v>5</v>
      </c>
      <c r="AK68">
        <f t="shared" ref="AK68:AK69" si="213">IF(OR($B68="",S68=""),"",IF(ISERROR(MATCH($B68,GP_PR_Sectors,0)),0,IF(S68&gt;=INDEX(GP_PR_T,MATCH($B68,GP_PR_Sectors,0),1),INDEX(GP_PR_T,MATCH($B68,GP_PR_Sectors,0),2),IF(S68&gt;=INDEX(GP_PR_T,MATCH($B68,GP_PR_Sectors,0),3),INDEX(GP_PR_T,MATCH($B68,GP_PR_Sectors,0),4),IF(S68&gt;=INDEX(GP_PR_T,MATCH($B68,GP_PR_Sectors,0),5),INDEX(GP_PR_T,MATCH($B68,GP_PR_Sectors,0),6),IF(S68&gt;=INDEX(GP_PR_T,MATCH($B68,GP_PR_Sectors,0),7),INDEX(GP_PR_T,MATCH($B68,GP_PR_Sectors,0),8),IF(S68&gt;=INDEX(GP_PR_T,MATCH($B68,GP_PR_Sectors,0),9),INDEX(GP_PR_T,MATCH($B68,GP_PR_Sectors,0),10),IF(S68&gt;=INDEX(GP_PR_T,MATCH($B68,GP_PR_Sectors,0),11),INDEX(GP_PR_T,MATCH($B68,GP_PR_Sectors,0),12),0))))))))</f>
        <v>0</v>
      </c>
      <c r="AL68">
        <f t="shared" ref="AL68:AL69" si="214">IF(OR($B68="",T68=""),"",IF(ISERROR(MATCH($B68,GP_BY_Sectors,0)),0,IF(T68&gt;=INDEX(GP_BY_T,MATCH($B68,GP_BY_Sectors,0),1),INDEX(GP_BY_T,MATCH($B68,GP_BY_Sectors,0),2),IF(T68&gt;=INDEX(GP_BY_T,MATCH($B68,GP_BY_Sectors,0),3),INDEX(GP_BY_T,MATCH($B68,GP_BY_Sectors,0),4),IF(T68&gt;=INDEX(GP_BY_T,MATCH($B68,GP_BY_Sectors,0),5),INDEX(GP_BY_T,MATCH($B68,GP_BY_Sectors,0),6),IF(T68&gt;=INDEX(GP_BY_T,MATCH($B68,GP_BY_Sectors,0),7),INDEX(GP_BY_T,MATCH($B68,GP_BY_Sectors,0),8),IF(T68&gt;=INDEX(GP_BY_T,MATCH($B68,GP_BY_Sectors,0),9),INDEX(GP_BY_T,MATCH($B68,GP_BY_Sectors,0),10),IF(T68&gt;=INDEX(GP_BY_T,MATCH($B68,GP_BY_Sectors,0),11),INDEX(GP_BY_T,MATCH($B68,GP_BY_Sectors,0),12),0))))))))</f>
        <v>10</v>
      </c>
      <c r="AM68">
        <f t="shared" ref="AM68:AM69" si="215">IF($B68="","",U68*0.35+V68*0.35+W68*0.3)</f>
        <v>95.8</v>
      </c>
      <c r="AN68">
        <f t="shared" ref="AN68:AN69" si="216">IF($B68="","",X68*0.4+Y68*0.35+Z68*0.25)</f>
        <v>100</v>
      </c>
      <c r="AO68">
        <f t="shared" ref="AO68:AO69" si="217">IF($B68="","",AA68*0.35+AB68*0.3+AC68*0.35)</f>
        <v>100</v>
      </c>
      <c r="AP68">
        <f t="shared" ref="AP68:AP69" si="218">IF($B68="","",AD68*0.4+AE68*0.35+AF68*0.25)</f>
        <v>48.5</v>
      </c>
      <c r="AQ68">
        <f t="shared" ref="AQ68:AQ69" si="219">IF($B68="","",AG68*0.35+AH68*0.35+AI68*0.3)</f>
        <v>16.799999999999997</v>
      </c>
      <c r="AR68">
        <f t="shared" si="41"/>
        <v>5.75</v>
      </c>
      <c r="AS68">
        <f t="shared" ref="AS68:AS69" si="220">IF($B68="","",MIN(100,MAX(0,ROUND(AM68*INDEX(GP_W_P1,MATCH($B68,GP_Weights_Sectors,0))+AN68*INDEX(GP_W_P2,MATCH($B68,GP_Weights_Sectors,0))+AO68*INDEX(GP_W_P3,MATCH($B68,GP_Weights_Sectors,0))+AP68*INDEX(GP_W_P4,MATCH($B68,GP_Weights_Sectors,0))+AQ68*INDEX(GP_W_P5,MATCH($B68,GP_Weights_Sectors,0))+AR68*INDEX(GP_W_P6,MATCH($B68,GP_Weights_Sectors,0)),0))))</f>
        <v>69</v>
      </c>
      <c r="AT68" s="12">
        <v>4</v>
      </c>
      <c r="AU68" s="12">
        <v>2</v>
      </c>
      <c r="AV68" s="12">
        <v>1</v>
      </c>
      <c r="AW68">
        <v>4</v>
      </c>
      <c r="AX68" s="38" t="e" vm="65">
        <v>#VALUE!</v>
      </c>
      <c r="AY68" s="59" cm="1">
        <f t="array" aca="1" ref="AY68" ca="1">_FV(AX68,"PRECIO")</f>
        <v>96.44</v>
      </c>
      <c r="AZ68" s="37">
        <v>123</v>
      </c>
      <c r="BB68" s="58">
        <f t="shared" ca="1" si="189"/>
        <v>0.27540439651596849</v>
      </c>
      <c r="BD68">
        <v>-0.19</v>
      </c>
      <c r="BE68">
        <v>47</v>
      </c>
      <c r="BF68">
        <v>0.55000000000000004</v>
      </c>
      <c r="BG68">
        <f t="shared" si="190"/>
        <v>10</v>
      </c>
      <c r="BH68">
        <f t="shared" si="191"/>
        <v>70</v>
      </c>
      <c r="BI68">
        <f t="shared" si="192"/>
        <v>100</v>
      </c>
      <c r="BJ68">
        <f t="shared" si="193"/>
        <v>56.5</v>
      </c>
      <c r="BK68">
        <f t="shared" si="194"/>
        <v>51</v>
      </c>
      <c r="BL68" t="str">
        <f t="shared" si="195"/>
        <v>🟠 WEAK</v>
      </c>
      <c r="BM68" s="49" t="str">
        <f t="shared" si="196"/>
        <v>🟠 UNDERWEIGHT</v>
      </c>
    </row>
    <row r="69" spans="1:65" x14ac:dyDescent="0.4">
      <c r="A69" t="s">
        <v>321</v>
      </c>
      <c r="B69" t="s">
        <v>44</v>
      </c>
      <c r="C69" s="1">
        <v>0.1804</v>
      </c>
      <c r="D69" s="1">
        <v>0.06</v>
      </c>
      <c r="E69" s="1">
        <v>0.3175</v>
      </c>
      <c r="F69" s="1">
        <v>0.1</v>
      </c>
      <c r="G69" s="1">
        <v>5</v>
      </c>
      <c r="H69" s="33">
        <v>2</v>
      </c>
      <c r="I69" s="33">
        <v>0.9</v>
      </c>
      <c r="J69" s="33">
        <v>2.0099999999999998</v>
      </c>
      <c r="K69" s="34">
        <v>6.4</v>
      </c>
      <c r="L69" s="18">
        <v>0.20230000000000001</v>
      </c>
      <c r="M69" s="33">
        <v>0.65</v>
      </c>
      <c r="N69" s="18">
        <v>3.6999999999999998E-2</v>
      </c>
      <c r="O69" s="33">
        <v>24.66</v>
      </c>
      <c r="P69" s="33">
        <v>29.81</v>
      </c>
      <c r="Q69" s="33">
        <v>46.16</v>
      </c>
      <c r="R69" s="18">
        <v>3.0000000000000001E-3</v>
      </c>
      <c r="S69" s="18">
        <v>8.5000000000000006E-2</v>
      </c>
      <c r="T69" s="18">
        <v>0.01</v>
      </c>
      <c r="U69">
        <f t="shared" si="197"/>
        <v>72</v>
      </c>
      <c r="V69">
        <f t="shared" si="198"/>
        <v>35</v>
      </c>
      <c r="W69">
        <f t="shared" si="199"/>
        <v>100</v>
      </c>
      <c r="X69">
        <f t="shared" si="200"/>
        <v>55</v>
      </c>
      <c r="Y69">
        <f t="shared" si="201"/>
        <v>100</v>
      </c>
      <c r="Z69">
        <f t="shared" si="202"/>
        <v>100</v>
      </c>
      <c r="AA69">
        <f t="shared" si="203"/>
        <v>72</v>
      </c>
      <c r="AB69">
        <f t="shared" si="204"/>
        <v>85</v>
      </c>
      <c r="AC69">
        <f t="shared" si="205"/>
        <v>70</v>
      </c>
      <c r="AD69">
        <f t="shared" si="206"/>
        <v>88</v>
      </c>
      <c r="AE69">
        <f t="shared" si="207"/>
        <v>35</v>
      </c>
      <c r="AF69">
        <f t="shared" si="208"/>
        <v>85</v>
      </c>
      <c r="AG69">
        <f t="shared" si="209"/>
        <v>65</v>
      </c>
      <c r="AH69">
        <f t="shared" si="210"/>
        <v>30</v>
      </c>
      <c r="AI69">
        <f t="shared" si="211"/>
        <v>28</v>
      </c>
      <c r="AJ69">
        <f t="shared" si="212"/>
        <v>22</v>
      </c>
      <c r="AK69">
        <f t="shared" si="213"/>
        <v>0</v>
      </c>
      <c r="AL69">
        <f t="shared" si="214"/>
        <v>50</v>
      </c>
      <c r="AM69">
        <f t="shared" si="215"/>
        <v>67.45</v>
      </c>
      <c r="AN69">
        <f t="shared" si="216"/>
        <v>82</v>
      </c>
      <c r="AO69">
        <f t="shared" si="217"/>
        <v>75.2</v>
      </c>
      <c r="AP69">
        <f t="shared" si="218"/>
        <v>68.7</v>
      </c>
      <c r="AQ69">
        <f t="shared" si="219"/>
        <v>41.65</v>
      </c>
      <c r="AR69">
        <f t="shared" si="41"/>
        <v>27.4</v>
      </c>
      <c r="AS69">
        <f t="shared" si="220"/>
        <v>64</v>
      </c>
      <c r="AT69" s="12">
        <v>2</v>
      </c>
      <c r="AU69" s="12">
        <v>3</v>
      </c>
      <c r="AV69" s="12">
        <v>3</v>
      </c>
      <c r="AW69">
        <v>3</v>
      </c>
      <c r="AX69" s="38" t="e" vm="66">
        <v>#VALUE!</v>
      </c>
      <c r="AY69" s="59" cm="1">
        <f t="array" aca="1" ref="AY69" ca="1">_FV(AX69,"PRECIO")</f>
        <v>97.68</v>
      </c>
      <c r="AZ69" s="37">
        <v>130</v>
      </c>
      <c r="BB69" s="58">
        <f t="shared" ca="1" si="189"/>
        <v>0.33087633087633078</v>
      </c>
      <c r="BD69">
        <v>0.16</v>
      </c>
      <c r="BE69">
        <v>55</v>
      </c>
      <c r="BF69">
        <v>0.25</v>
      </c>
      <c r="BG69">
        <f t="shared" si="190"/>
        <v>100</v>
      </c>
      <c r="BH69">
        <f t="shared" si="191"/>
        <v>70</v>
      </c>
      <c r="BI69">
        <f t="shared" si="192"/>
        <v>100</v>
      </c>
      <c r="BJ69">
        <f t="shared" si="193"/>
        <v>92.5</v>
      </c>
      <c r="BK69">
        <f t="shared" si="194"/>
        <v>62</v>
      </c>
      <c r="BL69" t="str">
        <f t="shared" si="195"/>
        <v>⚪ NEUTRAL</v>
      </c>
      <c r="BM69" s="49" t="str">
        <f t="shared" si="196"/>
        <v>⚠️ HOLD</v>
      </c>
    </row>
    <row r="70" spans="1:65" x14ac:dyDescent="0.4">
      <c r="A70" t="s">
        <v>413</v>
      </c>
      <c r="B70" t="s">
        <v>44</v>
      </c>
      <c r="C70" s="1">
        <v>7.4000000000000003E-3</v>
      </c>
      <c r="D70" s="1">
        <v>-0.1007</v>
      </c>
      <c r="E70" s="1">
        <v>0.192</v>
      </c>
      <c r="F70" s="1">
        <v>3.5</v>
      </c>
      <c r="G70" s="1">
        <v>5</v>
      </c>
      <c r="H70" s="33">
        <v>3</v>
      </c>
      <c r="I70" s="33">
        <v>4.5</v>
      </c>
      <c r="J70" s="33">
        <v>3.08</v>
      </c>
      <c r="K70" s="34">
        <v>-5</v>
      </c>
      <c r="L70" s="18">
        <v>-1.06</v>
      </c>
      <c r="M70" s="33">
        <v>-5.5</v>
      </c>
      <c r="N70" s="18">
        <v>1.52</v>
      </c>
      <c r="O70" s="33">
        <v>97</v>
      </c>
      <c r="P70" s="33">
        <v>-71</v>
      </c>
      <c r="Q70" s="33">
        <v>-46</v>
      </c>
      <c r="R70" s="18">
        <v>0</v>
      </c>
      <c r="S70" s="18">
        <v>0</v>
      </c>
      <c r="T70" s="18">
        <v>0.04</v>
      </c>
      <c r="U70">
        <f t="shared" ref="U70:U83" si="221">IF(OR($B70="",C70=""),"",IF(ISERROR(MATCH($B70,GP_ROE_Sectors,0)),0,IF(C70&gt;=INDEX(GP_ROE_T,MATCH($B70,GP_ROE_Sectors,0),1),INDEX(GP_ROE_T,MATCH($B70,GP_ROE_Sectors,0),2),IF(C70&gt;=INDEX(GP_ROE_T,MATCH($B70,GP_ROE_Sectors,0),3),INDEX(GP_ROE_T,MATCH($B70,GP_ROE_Sectors,0),4),IF(C70&gt;=INDEX(GP_ROE_T,MATCH($B70,GP_ROE_Sectors,0),5),INDEX(GP_ROE_T,MATCH($B70,GP_ROE_Sectors,0),6),IF(C70&gt;=INDEX(GP_ROE_T,MATCH($B70,GP_ROE_Sectors,0),7),INDEX(GP_ROE_T,MATCH($B70,GP_ROE_Sectors,0),8),IF(C70&gt;=INDEX(GP_ROE_T,MATCH($B70,GP_ROE_Sectors,0),9),INDEX(GP_ROE_T,MATCH($B70,GP_ROE_Sectors,0),10),IF(C70&gt;=INDEX(GP_ROE_T,MATCH($B70,GP_ROE_Sectors,0),11),INDEX(GP_ROE_T,MATCH($B70,GP_ROE_Sectors,0),12),0))))))))</f>
        <v>0</v>
      </c>
      <c r="V70">
        <f t="shared" ref="V70:V83" si="222">IF(OR($B70="",D70=""),"",IF(ISERROR(MATCH($B70,GP_ROIC_Sectors,0)),0,IF(D70&gt;=INDEX(GP_ROIC_T,MATCH($B70,GP_ROIC_Sectors,0),1),INDEX(GP_ROIC_T,MATCH($B70,GP_ROIC_Sectors,0),2),IF(D70&gt;=INDEX(GP_ROIC_T,MATCH($B70,GP_ROIC_Sectors,0),3),INDEX(GP_ROIC_T,MATCH($B70,GP_ROIC_Sectors,0),4),IF(D70&gt;=INDEX(GP_ROIC_T,MATCH($B70,GP_ROIC_Sectors,0),5),INDEX(GP_ROIC_T,MATCH($B70,GP_ROIC_Sectors,0),6),IF(D70&gt;=INDEX(GP_ROIC_T,MATCH($B70,GP_ROIC_Sectors,0),7),INDEX(GP_ROIC_T,MATCH($B70,GP_ROIC_Sectors,0),8),IF(D70&gt;=INDEX(GP_ROIC_T,MATCH($B70,GP_ROIC_Sectors,0),9),INDEX(GP_ROIC_T,MATCH($B70,GP_ROIC_Sectors,0),10),IF(D70&gt;=INDEX(GP_ROIC_T,MATCH($B70,GP_ROIC_Sectors,0),11),INDEX(GP_ROIC_T,MATCH($B70,GP_ROIC_Sectors,0),12),0))))))))</f>
        <v>0</v>
      </c>
      <c r="W70">
        <f t="shared" ref="W70:W83" si="223">IF(OR($B70="",E70=""),"",IF(ISERROR(MATCH($B70,GP_NM_Sectors,0)),0,IF(E70&gt;=INDEX(GP_NM_T,MATCH($B70,GP_NM_Sectors,0),1),INDEX(GP_NM_T,MATCH($B70,GP_NM_Sectors,0),2),IF(E70&gt;=INDEX(GP_NM_T,MATCH($B70,GP_NM_Sectors,0),3),INDEX(GP_NM_T,MATCH($B70,GP_NM_Sectors,0),4),IF(E70&gt;=INDEX(GP_NM_T,MATCH($B70,GP_NM_Sectors,0),5),INDEX(GP_NM_T,MATCH($B70,GP_NM_Sectors,0),6),IF(E70&gt;=INDEX(GP_NM_T,MATCH($B70,GP_NM_Sectors,0),7),INDEX(GP_NM_T,MATCH($B70,GP_NM_Sectors,0),8),IF(E70&gt;=INDEX(GP_NM_T,MATCH($B70,GP_NM_Sectors,0),9),INDEX(GP_NM_T,MATCH($B70,GP_NM_Sectors,0),10),IF(E70&gt;=INDEX(GP_NM_T,MATCH($B70,GP_NM_Sectors,0),11),INDEX(GP_NM_T,MATCH($B70,GP_NM_Sectors,0),12),0))))))))</f>
        <v>88</v>
      </c>
      <c r="X70">
        <f t="shared" ref="X70:X83" si="224">IF(OR($B70="",F70=""),"",IF(ISERROR(MATCH($B70,GP_RG_Sectors,0)),0,IF(F70&gt;=INDEX(GP_RG_T,MATCH($B70,GP_RG_Sectors,0),1),INDEX(GP_RG_T,MATCH($B70,GP_RG_Sectors,0),2),IF(F70&gt;=INDEX(GP_RG_T,MATCH($B70,GP_RG_Sectors,0),3),INDEX(GP_RG_T,MATCH($B70,GP_RG_Sectors,0),4),IF(F70&gt;=INDEX(GP_RG_T,MATCH($B70,GP_RG_Sectors,0),5),INDEX(GP_RG_T,MATCH($B70,GP_RG_Sectors,0),6),IF(F70&gt;=INDEX(GP_RG_T,MATCH($B70,GP_RG_Sectors,0),7),INDEX(GP_RG_T,MATCH($B70,GP_RG_Sectors,0),8),IF(F70&gt;=INDEX(GP_RG_T,MATCH($B70,GP_RG_Sectors,0),9),INDEX(GP_RG_T,MATCH($B70,GP_RG_Sectors,0),10),IF(F70&gt;=INDEX(GP_RG_T,MATCH($B70,GP_RG_Sectors,0),11),INDEX(GP_RG_T,MATCH($B70,GP_RG_Sectors,0),12),0))))))))</f>
        <v>100</v>
      </c>
      <c r="Y70">
        <f t="shared" ref="Y70:Y83" si="225">IF(OR($B70="",G70=""),"",IF(ISERROR(MATCH($B70,GP_EG_Sectors,0)),0,IF(G70&gt;=INDEX(GP_EG_T,MATCH($B70,GP_EG_Sectors,0),1),INDEX(GP_EG_T,MATCH($B70,GP_EG_Sectors,0),2),IF(G70&gt;=INDEX(GP_EG_T,MATCH($B70,GP_EG_Sectors,0),3),INDEX(GP_EG_T,MATCH($B70,GP_EG_Sectors,0),4),IF(G70&gt;=INDEX(GP_EG_T,MATCH($B70,GP_EG_Sectors,0),5),INDEX(GP_EG_T,MATCH($B70,GP_EG_Sectors,0),6),IF(G70&gt;=INDEX(GP_EG_T,MATCH($B70,GP_EG_Sectors,0),7),INDEX(GP_EG_T,MATCH($B70,GP_EG_Sectors,0),8),IF(G70&gt;=INDEX(GP_EG_T,MATCH($B70,GP_EG_Sectors,0),9),INDEX(GP_EG_T,MATCH($B70,GP_EG_Sectors,0),10),IF(G70&gt;=INDEX(GP_EG_T,MATCH($B70,GP_EG_Sectors,0),11),INDEX(GP_EG_T,MATCH($B70,GP_EG_Sectors,0),12),0))))))))</f>
        <v>100</v>
      </c>
      <c r="Z70">
        <f t="shared" ref="Z70:Z83" si="226">IF(OR($B70="",H70=""),"",IF(ISERROR(MATCH($B70,GP_OL_Sectors,0)),0,IF(H70&gt;=INDEX(GP_OL_T,MATCH($B70,GP_OL_Sectors,0),1),INDEX(GP_OL_T,MATCH($B70,GP_OL_Sectors,0),2),IF(H70&gt;=INDEX(GP_OL_T,MATCH($B70,GP_OL_Sectors,0),3),INDEX(GP_OL_T,MATCH($B70,GP_OL_Sectors,0),4),IF(H70&gt;=INDEX(GP_OL_T,MATCH($B70,GP_OL_Sectors,0),5),INDEX(GP_OL_T,MATCH($B70,GP_OL_Sectors,0),6),IF(H70&gt;=INDEX(GP_OL_T,MATCH($B70,GP_OL_Sectors,0),7),INDEX(GP_OL_T,MATCH($B70,GP_OL_Sectors,0),8),IF(H70&gt;=INDEX(GP_OL_T,MATCH($B70,GP_OL_Sectors,0),9),INDEX(GP_OL_T,MATCH($B70,GP_OL_Sectors,0),10),IF(H70&gt;=INDEX(GP_OL_T,MATCH($B70,GP_OL_Sectors,0),11),INDEX(GP_OL_T,MATCH($B70,GP_OL_Sectors,0),12),0))))))))</f>
        <v>100</v>
      </c>
      <c r="AA70">
        <f t="shared" ref="AA70:AA83" si="227">IF(OR($B70="",I70=""),"",IF(ISERROR(MATCH($B70,GP_ND_Sectors,0)),0,IF(I70&lt;=INDEX(GP_ND_T,MATCH($B70,GP_ND_Sectors,0),1),INDEX(GP_ND_T,MATCH($B70,GP_ND_Sectors,0),2),IF(I70&lt;=INDEX(GP_ND_T,MATCH($B70,GP_ND_Sectors,0),3),INDEX(GP_ND_T,MATCH($B70,GP_ND_Sectors,0),4),IF(I70&lt;=INDEX(GP_ND_T,MATCH($B70,GP_ND_Sectors,0),5),INDEX(GP_ND_T,MATCH($B70,GP_ND_Sectors,0),6),IF(I70&lt;=INDEX(GP_ND_T,MATCH($B70,GP_ND_Sectors,0),7),INDEX(GP_ND_T,MATCH($B70,GP_ND_Sectors,0),8),IF(I70&lt;=INDEX(GP_ND_T,MATCH($B70,GP_ND_Sectors,0),9),INDEX(GP_ND_T,MATCH($B70,GP_ND_Sectors,0),10),IF(I70&lt;=INDEX(GP_ND_T,MATCH($B70,GP_ND_Sectors,0),11),INDEX(GP_ND_T,MATCH($B70,GP_ND_Sectors,0),12),0))))))))</f>
        <v>0</v>
      </c>
      <c r="AB70">
        <f t="shared" ref="AB70:AB83" si="228">IF(OR($B70="",J70=""),"",IF(ISERROR(MATCH($B70,GP_CR_Sectors,0)),0,IF(J70&gt;=INDEX(GP_CR_T,MATCH($B70,GP_CR_Sectors,0),1),INDEX(GP_CR_T,MATCH($B70,GP_CR_Sectors,0),2),IF(J70&gt;=INDEX(GP_CR_T,MATCH($B70,GP_CR_Sectors,0),3),INDEX(GP_CR_T,MATCH($B70,GP_CR_Sectors,0),4),IF(J70&gt;=INDEX(GP_CR_T,MATCH($B70,GP_CR_Sectors,0),5),INDEX(GP_CR_T,MATCH($B70,GP_CR_Sectors,0),6),IF(J70&gt;=INDEX(GP_CR_T,MATCH($B70,GP_CR_Sectors,0),7),INDEX(GP_CR_T,MATCH($B70,GP_CR_Sectors,0),8),IF(J70&gt;=INDEX(GP_CR_T,MATCH($B70,GP_CR_Sectors,0),9),INDEX(GP_CR_T,MATCH($B70,GP_CR_Sectors,0),10),IF(J70&gt;=INDEX(GP_CR_T,MATCH($B70,GP_CR_Sectors,0),11),INDEX(GP_CR_T,MATCH($B70,GP_CR_Sectors,0),12),0))))))))</f>
        <v>100</v>
      </c>
      <c r="AC70">
        <f t="shared" ref="AC70:AC83" si="229">IF(OR($B70="",K70=""),"",IF(ISERROR(MATCH($B70,GP_IC_Sectors,0)),0,IF(K70&gt;=INDEX(GP_IC_T,MATCH($B70,GP_IC_Sectors,0),1),INDEX(GP_IC_T,MATCH($B70,GP_IC_Sectors,0),2),IF(K70&gt;=INDEX(GP_IC_T,MATCH($B70,GP_IC_Sectors,0),3),INDEX(GP_IC_T,MATCH($B70,GP_IC_Sectors,0),4),IF(K70&gt;=INDEX(GP_IC_T,MATCH($B70,GP_IC_Sectors,0),5),INDEX(GP_IC_T,MATCH($B70,GP_IC_Sectors,0),6),IF(K70&gt;=INDEX(GP_IC_T,MATCH($B70,GP_IC_Sectors,0),7),INDEX(GP_IC_T,MATCH($B70,GP_IC_Sectors,0),8),IF(K70&gt;=INDEX(GP_IC_T,MATCH($B70,GP_IC_Sectors,0),9),INDEX(GP_IC_T,MATCH($B70,GP_IC_Sectors,0),10),IF(K70&gt;=INDEX(GP_IC_T,MATCH($B70,GP_IC_Sectors,0),11),INDEX(GP_IC_T,MATCH($B70,GP_IC_Sectors,0),12),0))))))))</f>
        <v>0</v>
      </c>
      <c r="AD70">
        <f t="shared" ref="AD70:AD83" si="230">IF(OR($B70="",L70=""),"",IF(ISERROR(MATCH($B70,GP_FM_Sectors,0)),0,IF(L70&gt;=INDEX(GP_FM_T,MATCH($B70,GP_FM_Sectors,0),1),INDEX(GP_FM_T,MATCH($B70,GP_FM_Sectors,0),2),IF(L70&gt;=INDEX(GP_FM_T,MATCH($B70,GP_FM_Sectors,0),3),INDEX(GP_FM_T,MATCH($B70,GP_FM_Sectors,0),4),IF(L70&gt;=INDEX(GP_FM_T,MATCH($B70,GP_FM_Sectors,0),5),INDEX(GP_FM_T,MATCH($B70,GP_FM_Sectors,0),6),IF(L70&gt;=INDEX(GP_FM_T,MATCH($B70,GP_FM_Sectors,0),7),INDEX(GP_FM_T,MATCH($B70,GP_FM_Sectors,0),8),IF(L70&gt;=INDEX(GP_FM_T,MATCH($B70,GP_FM_Sectors,0),9),INDEX(GP_FM_T,MATCH($B70,GP_FM_Sectors,0),10),IF(L70&gt;=INDEX(GP_FM_T,MATCH($B70,GP_FM_Sectors,0),11),INDEX(GP_FM_T,MATCH($B70,GP_FM_Sectors,0),12),0))))))))</f>
        <v>0</v>
      </c>
      <c r="AE70">
        <f t="shared" ref="AE70:AE83" si="231">IF(OR($B70="",M70=""),"",IF(ISERROR(MATCH($B70,GP_FN_Sectors,0)),0,IF(M70&gt;=INDEX(GP_FN_T,MATCH($B70,GP_FN_Sectors,0),1),INDEX(GP_FN_T,MATCH($B70,GP_FN_Sectors,0),2),IF(M70&gt;=INDEX(GP_FN_T,MATCH($B70,GP_FN_Sectors,0),3),INDEX(GP_FN_T,MATCH($B70,GP_FN_Sectors,0),4),IF(M70&gt;=INDEX(GP_FN_T,MATCH($B70,GP_FN_Sectors,0),5),INDEX(GP_FN_T,MATCH($B70,GP_FN_Sectors,0),6),IF(M70&gt;=INDEX(GP_FN_T,MATCH($B70,GP_FN_Sectors,0),7),INDEX(GP_FN_T,MATCH($B70,GP_FN_Sectors,0),8),IF(M70&gt;=INDEX(GP_FN_T,MATCH($B70,GP_FN_Sectors,0),9),INDEX(GP_FN_T,MATCH($B70,GP_FN_Sectors,0),10),IF(M70&gt;=INDEX(GP_FN_T,MATCH($B70,GP_FN_Sectors,0),11),INDEX(GP_FN_T,MATCH($B70,GP_FN_Sectors,0),12),0))))))))</f>
        <v>0</v>
      </c>
      <c r="AF70">
        <f t="shared" ref="AF70:AF83" si="232">IF(OR($B70="",N70=""),"",IF(ISERROR(MATCH($B70,GP_CX_Sectors,0)),0,IF(N70&lt;=INDEX(GP_CX_T,MATCH($B70,GP_CX_Sectors,0),1),INDEX(GP_CX_T,MATCH($B70,GP_CX_Sectors,0),2),IF(N70&lt;=INDEX(GP_CX_T,MATCH($B70,GP_CX_Sectors,0),3),INDEX(GP_CX_T,MATCH($B70,GP_CX_Sectors,0),4),IF(N70&lt;=INDEX(GP_CX_T,MATCH($B70,GP_CX_Sectors,0),5),INDEX(GP_CX_T,MATCH($B70,GP_CX_Sectors,0),6),IF(N70&lt;=INDEX(GP_CX_T,MATCH($B70,GP_CX_Sectors,0),7),INDEX(GP_CX_T,MATCH($B70,GP_CX_Sectors,0),8),IF(N70&lt;=INDEX(GP_CX_T,MATCH($B70,GP_CX_Sectors,0),9),INDEX(GP_CX_T,MATCH($B70,GP_CX_Sectors,0),10),IF(N70&lt;=INDEX(GP_CX_T,MATCH($B70,GP_CX_Sectors,0),11),INDEX(GP_CX_T,MATCH($B70,GP_CX_Sectors,0),12),0))))))))</f>
        <v>0</v>
      </c>
      <c r="AG70">
        <f t="shared" ref="AG70:AG83" si="233">IF(OR($B70="",O70=""),"",IF(ISERROR(MATCH($B70,GP_PE_Sectors,0)),0,IF(O70&lt;=INDEX(GP_PE_T,MATCH($B70,GP_PE_Sectors,0),1),INDEX(GP_PE_T,MATCH($B70,GP_PE_Sectors,0),2),IF(O70&lt;=INDEX(GP_PE_T,MATCH($B70,GP_PE_Sectors,0),3),INDEX(GP_PE_T,MATCH($B70,GP_PE_Sectors,0),4),IF(O70&lt;=INDEX(GP_PE_T,MATCH($B70,GP_PE_Sectors,0),5),INDEX(GP_PE_T,MATCH($B70,GP_PE_Sectors,0),6),IF(O70&lt;=INDEX(GP_PE_T,MATCH($B70,GP_PE_Sectors,0),7),INDEX(GP_PE_T,MATCH($B70,GP_PE_Sectors,0),8),IF(O70&lt;=INDEX(GP_PE_T,MATCH($B70,GP_PE_Sectors,0),9),INDEX(GP_PE_T,MATCH($B70,GP_PE_Sectors,0),10),IF(O70&lt;=INDEX(GP_PE_T,MATCH($B70,GP_PE_Sectors,0),11),INDEX(GP_PE_T,MATCH($B70,GP_PE_Sectors,0),12),0))))))))</f>
        <v>0</v>
      </c>
      <c r="AH70">
        <f t="shared" ref="AH70:AH83" si="234">IF(OR($B70="",P70=""),"",IF(ISERROR(MATCH($B70,GP_EV_Sectors,0)),0,IF(P70&lt;=INDEX(GP_EV_T,MATCH($B70,GP_EV_Sectors,0),1),INDEX(GP_EV_T,MATCH($B70,GP_EV_Sectors,0),2),IF(P70&lt;=INDEX(GP_EV_T,MATCH($B70,GP_EV_Sectors,0),3),INDEX(GP_EV_T,MATCH($B70,GP_EV_Sectors,0),4),IF(P70&lt;=INDEX(GP_EV_T,MATCH($B70,GP_EV_Sectors,0),5),INDEX(GP_EV_T,MATCH($B70,GP_EV_Sectors,0),6),IF(P70&lt;=INDEX(GP_EV_T,MATCH($B70,GP_EV_Sectors,0),7),INDEX(GP_EV_T,MATCH($B70,GP_EV_Sectors,0),8),IF(P70&lt;=INDEX(GP_EV_T,MATCH($B70,GP_EV_Sectors,0),9),INDEX(GP_EV_T,MATCH($B70,GP_EV_Sectors,0),10),IF(P70&lt;=INDEX(GP_EV_T,MATCH($B70,GP_EV_Sectors,0),11),INDEX(GP_EV_T,MATCH($B70,GP_EV_Sectors,0),12),0))))))))</f>
        <v>100</v>
      </c>
      <c r="AI70">
        <f t="shared" ref="AI70:AI83" si="235">IF(OR($B70="",Q70=""),"",IF(ISERROR(MATCH($B70,GP_PF_Sectors,0)),0,IF(Q70&lt;=INDEX(GP_PF_T,MATCH($B70,GP_PF_Sectors,0),1),INDEX(GP_PF_T,MATCH($B70,GP_PF_Sectors,0),2),IF(Q70&lt;=INDEX(GP_PF_T,MATCH($B70,GP_PF_Sectors,0),3),INDEX(GP_PF_T,MATCH($B70,GP_PF_Sectors,0),4),IF(Q70&lt;=INDEX(GP_PF_T,MATCH($B70,GP_PF_Sectors,0),5),INDEX(GP_PF_T,MATCH($B70,GP_PF_Sectors,0),6),IF(Q70&lt;=INDEX(GP_PF_T,MATCH($B70,GP_PF_Sectors,0),7),INDEX(GP_PF_T,MATCH($B70,GP_PF_Sectors,0),8),IF(Q70&lt;=INDEX(GP_PF_T,MATCH($B70,GP_PF_Sectors,0),9),INDEX(GP_PF_T,MATCH($B70,GP_PF_Sectors,0),10),IF(Q70&lt;=INDEX(GP_PF_T,MATCH($B70,GP_PF_Sectors,0),11),INDEX(GP_PF_T,MATCH($B70,GP_PF_Sectors,0),12),0))))))))</f>
        <v>100</v>
      </c>
      <c r="AJ70">
        <f t="shared" ref="AJ70:AJ83" si="236">IF(OR($B70="",R70=""),"",IF(ISERROR(MATCH($B70,GP_DY_Sectors,0)),0,IF(R70&gt;=INDEX(GP_DY_T,MATCH($B70,GP_DY_Sectors,0),1),INDEX(GP_DY_T,MATCH($B70,GP_DY_Sectors,0),2),IF(R70&gt;=INDEX(GP_DY_T,MATCH($B70,GP_DY_Sectors,0),3),INDEX(GP_DY_T,MATCH($B70,GP_DY_Sectors,0),4),IF(R70&gt;=INDEX(GP_DY_T,MATCH($B70,GP_DY_Sectors,0),5),INDEX(GP_DY_T,MATCH($B70,GP_DY_Sectors,0),6),IF(R70&gt;=INDEX(GP_DY_T,MATCH($B70,GP_DY_Sectors,0),7),INDEX(GP_DY_T,MATCH($B70,GP_DY_Sectors,0),8),IF(R70&gt;=INDEX(GP_DY_T,MATCH($B70,GP_DY_Sectors,0),9),INDEX(GP_DY_T,MATCH($B70,GP_DY_Sectors,0),10),IF(R70&gt;=INDEX(GP_DY_T,MATCH($B70,GP_DY_Sectors,0),11),INDEX(GP_DY_T,MATCH($B70,GP_DY_Sectors,0),12),0))))))))</f>
        <v>5</v>
      </c>
      <c r="AK70">
        <f t="shared" ref="AK70:AK83" si="237">IF(OR($B70="",S70=""),"",IF(ISERROR(MATCH($B70,GP_PR_Sectors,0)),0,IF(S70&gt;=INDEX(GP_PR_T,MATCH($B70,GP_PR_Sectors,0),1),INDEX(GP_PR_T,MATCH($B70,GP_PR_Sectors,0),2),IF(S70&gt;=INDEX(GP_PR_T,MATCH($B70,GP_PR_Sectors,0),3),INDEX(GP_PR_T,MATCH($B70,GP_PR_Sectors,0),4),IF(S70&gt;=INDEX(GP_PR_T,MATCH($B70,GP_PR_Sectors,0),5),INDEX(GP_PR_T,MATCH($B70,GP_PR_Sectors,0),6),IF(S70&gt;=INDEX(GP_PR_T,MATCH($B70,GP_PR_Sectors,0),7),INDEX(GP_PR_T,MATCH($B70,GP_PR_Sectors,0),8),IF(S70&gt;=INDEX(GP_PR_T,MATCH($B70,GP_PR_Sectors,0),9),INDEX(GP_PR_T,MATCH($B70,GP_PR_Sectors,0),10),IF(S70&gt;=INDEX(GP_PR_T,MATCH($B70,GP_PR_Sectors,0),11),INDEX(GP_PR_T,MATCH($B70,GP_PR_Sectors,0),12),0))))))))</f>
        <v>0</v>
      </c>
      <c r="AL70">
        <f t="shared" ref="AL70:AL83" si="238">IF(OR($B70="",T70=""),"",IF(ISERROR(MATCH($B70,GP_BY_Sectors,0)),0,IF(T70&gt;=INDEX(GP_BY_T,MATCH($B70,GP_BY_Sectors,0),1),INDEX(GP_BY_T,MATCH($B70,GP_BY_Sectors,0),2),IF(T70&gt;=INDEX(GP_BY_T,MATCH($B70,GP_BY_Sectors,0),3),INDEX(GP_BY_T,MATCH($B70,GP_BY_Sectors,0),4),IF(T70&gt;=INDEX(GP_BY_T,MATCH($B70,GP_BY_Sectors,0),5),INDEX(GP_BY_T,MATCH($B70,GP_BY_Sectors,0),6),IF(T70&gt;=INDEX(GP_BY_T,MATCH($B70,GP_BY_Sectors,0),7),INDEX(GP_BY_T,MATCH($B70,GP_BY_Sectors,0),8),IF(T70&gt;=INDEX(GP_BY_T,MATCH($B70,GP_BY_Sectors,0),9),INDEX(GP_BY_T,MATCH($B70,GP_BY_Sectors,0),10),IF(T70&gt;=INDEX(GP_BY_T,MATCH($B70,GP_BY_Sectors,0),11),INDEX(GP_BY_T,MATCH($B70,GP_BY_Sectors,0),12),0))))))))</f>
        <v>100</v>
      </c>
      <c r="AM70">
        <f t="shared" ref="AM70:AM83" si="239">IF($B70="","",U70*0.35+V70*0.35+W70*0.3)</f>
        <v>26.4</v>
      </c>
      <c r="AN70">
        <f t="shared" ref="AN70:AN83" si="240">IF($B70="","",X70*0.4+Y70*0.35+Z70*0.25)</f>
        <v>100</v>
      </c>
      <c r="AO70">
        <f t="shared" ref="AO70:AO83" si="241">IF($B70="","",AA70*0.35+AB70*0.3+AC70*0.35)</f>
        <v>30</v>
      </c>
      <c r="AP70">
        <f t="shared" ref="AP70:AP83" si="242">IF($B70="","",AD70*0.4+AE70*0.35+AF70*0.25)</f>
        <v>0</v>
      </c>
      <c r="AQ70">
        <f t="shared" ref="AQ70:AQ83" si="243">IF($B70="","",AG70*0.35+AH70*0.35+AI70*0.3)</f>
        <v>65</v>
      </c>
      <c r="AR70">
        <f t="shared" ref="AR70:AR83" si="244">IF($B70="","",AJ70*0.45+AK70*0.2+AL70*0.35)</f>
        <v>37.25</v>
      </c>
      <c r="AS70">
        <f t="shared" ref="AS70:AS83" si="245">IF($B70="","",MIN(100,MAX(0,ROUND(AM70*INDEX(GP_W_P1,MATCH($B70,GP_Weights_Sectors,0))+AN70*INDEX(GP_W_P2,MATCH($B70,GP_Weights_Sectors,0))+AO70*INDEX(GP_W_P3,MATCH($B70,GP_Weights_Sectors,0))+AP70*INDEX(GP_W_P4,MATCH($B70,GP_Weights_Sectors,0))+AQ70*INDEX(GP_W_P5,MATCH($B70,GP_Weights_Sectors,0))+AR70*INDEX(GP_W_P6,MATCH($B70,GP_Weights_Sectors,0)),0))))</f>
        <v>45</v>
      </c>
      <c r="AT70" s="12">
        <v>2</v>
      </c>
      <c r="AU70" s="12">
        <v>3</v>
      </c>
      <c r="AV70" s="12">
        <v>3</v>
      </c>
      <c r="AW70">
        <v>3</v>
      </c>
      <c r="AX70" s="38" t="e" vm="67">
        <v>#VALUE!</v>
      </c>
      <c r="AY70" s="59" cm="1">
        <f t="array" aca="1" ref="AY70" ca="1">_FV(AX70,"PRECIO")</f>
        <v>105.97</v>
      </c>
      <c r="AZ70" s="37">
        <v>85</v>
      </c>
      <c r="BB70" s="58">
        <f t="shared" ref="BB70:BB110" ca="1" si="246">IF(OR(AY70="",AZ70=""),"",(AZ70-AY70)/AY70)</f>
        <v>-0.19788619420590733</v>
      </c>
      <c r="BD70">
        <v>0.17</v>
      </c>
      <c r="BE70">
        <v>67</v>
      </c>
      <c r="BF70">
        <v>0.55000000000000004</v>
      </c>
      <c r="BG70">
        <f t="shared" ref="BG70:BG83" si="247">IF(BD70&gt;0.1,100,IF(BD70&gt;0.05,80,IF(BD70&gt;0,65,IF(BD70&gt;-0.05,45,IF(BD70&gt;-0.1,25,10)))))</f>
        <v>100</v>
      </c>
      <c r="BH70">
        <f t="shared" ref="BH70:BH83" si="248">IF(AND(BE70&gt;=40,BE70&lt;=60),70,IF(AND(BE70&gt;60,BE70&lt;=70),85,IF(BE70&gt;70,50,IF(AND(BE70&gt;=30,BE70&lt;40),55,40))))</f>
        <v>85</v>
      </c>
      <c r="BI70">
        <f t="shared" ref="BI70:BI83" si="249">IF(BF70&gt;0.2,100,IF(BF70&gt;0.1,80,IF(BF70&gt;0,65,IF(BF70&gt;-0.1,45,IF(BF70&gt;-0.2,25,10)))))</f>
        <v>100</v>
      </c>
      <c r="BJ70">
        <f t="shared" ref="BJ70:BJ83" si="250">ROUND(BG70*0.4+BH70*0.25+BI70*0.35,1)</f>
        <v>96.3</v>
      </c>
      <c r="BK70">
        <f t="shared" ref="BK70:BK83" si="251">IF(OR(AS70="",AQ70="",BJ70=""),"",ROUND(AS70*0.4+MAX(15,MIN(90,AQ70))*0.2+BJ70*0.25+MIN(100,MAX(0,AW70*10))*0.15,0))</f>
        <v>60</v>
      </c>
      <c r="BL70" t="str">
        <f t="shared" ref="BL70:BL83" si="252">IF(BK70="","",IF(BK70&gt;=85,"🟢 STRONG",IF(BK70&gt;=70,"🟡 FAVORABLE",IF(BK70&gt;=55,"⚪ NEUTRAL",IF(BK70&gt;=40,"🟠 WEAK","🔴 AVOID")))))</f>
        <v>⚪ NEUTRAL</v>
      </c>
      <c r="BM70" s="49" t="str">
        <f t="shared" ref="BM70:BM83" si="253">IF(BK70="","",IF(AND(BK70&gt;=75,BJ70&gt;=70,AW70&gt;=6),"🚀 STRONG BUY",IF(AND(BK70&gt;=65,BJ70&gt;=55),"✅ BUY",IF(BK70&gt;=55,"⚠️ HOLD",IF(OR(BK70&lt;45,AND(BJ70&lt;35,AW70&lt;3)),"🔴 SELL","🟠 UNDERWEIGHT")))))</f>
        <v>⚠️ HOLD</v>
      </c>
    </row>
    <row r="71" spans="1:65" x14ac:dyDescent="0.4">
      <c r="A71" t="s">
        <v>414</v>
      </c>
      <c r="B71" t="s">
        <v>44</v>
      </c>
      <c r="C71" s="1">
        <v>2.7199999999999998E-2</v>
      </c>
      <c r="D71" s="1">
        <v>3.1699999999999999E-2</v>
      </c>
      <c r="E71" s="1">
        <v>8.5000000000000006E-3</v>
      </c>
      <c r="F71" s="1">
        <v>0.23</v>
      </c>
      <c r="G71" s="1">
        <v>5</v>
      </c>
      <c r="H71" s="33">
        <v>2</v>
      </c>
      <c r="I71" s="33">
        <v>1.8</v>
      </c>
      <c r="J71" s="33">
        <v>2.33</v>
      </c>
      <c r="K71" s="34">
        <v>6</v>
      </c>
      <c r="L71" s="18">
        <v>0.01</v>
      </c>
      <c r="M71" s="33">
        <v>0.15</v>
      </c>
      <c r="N71" s="18">
        <v>0.08</v>
      </c>
      <c r="O71" s="33">
        <v>28.13</v>
      </c>
      <c r="P71" s="33">
        <v>22.53</v>
      </c>
      <c r="Q71" s="33">
        <v>355</v>
      </c>
      <c r="R71" s="18">
        <v>1E-3</v>
      </c>
      <c r="S71" s="18">
        <v>0.23</v>
      </c>
      <c r="T71" s="18">
        <v>0</v>
      </c>
      <c r="U71">
        <f t="shared" si="221"/>
        <v>18</v>
      </c>
      <c r="V71">
        <f t="shared" si="222"/>
        <v>18</v>
      </c>
      <c r="W71">
        <f t="shared" si="223"/>
        <v>0</v>
      </c>
      <c r="X71">
        <f t="shared" si="224"/>
        <v>88</v>
      </c>
      <c r="Y71">
        <f t="shared" si="225"/>
        <v>100</v>
      </c>
      <c r="Z71">
        <f t="shared" si="226"/>
        <v>100</v>
      </c>
      <c r="AA71">
        <f t="shared" si="227"/>
        <v>55</v>
      </c>
      <c r="AB71">
        <f t="shared" si="228"/>
        <v>85</v>
      </c>
      <c r="AC71">
        <f t="shared" si="229"/>
        <v>70</v>
      </c>
      <c r="AD71">
        <f t="shared" si="230"/>
        <v>15</v>
      </c>
      <c r="AE71">
        <f t="shared" si="231"/>
        <v>0</v>
      </c>
      <c r="AF71">
        <f t="shared" si="232"/>
        <v>70</v>
      </c>
      <c r="AG71">
        <f t="shared" si="233"/>
        <v>48</v>
      </c>
      <c r="AH71">
        <f t="shared" si="234"/>
        <v>48</v>
      </c>
      <c r="AI71">
        <f t="shared" si="235"/>
        <v>0</v>
      </c>
      <c r="AJ71">
        <f t="shared" si="236"/>
        <v>5</v>
      </c>
      <c r="AK71">
        <f t="shared" si="237"/>
        <v>55</v>
      </c>
      <c r="AL71">
        <f t="shared" si="238"/>
        <v>10</v>
      </c>
      <c r="AM71">
        <f t="shared" si="239"/>
        <v>12.6</v>
      </c>
      <c r="AN71">
        <f t="shared" si="240"/>
        <v>95.2</v>
      </c>
      <c r="AO71">
        <f t="shared" si="241"/>
        <v>69.25</v>
      </c>
      <c r="AP71">
        <f t="shared" si="242"/>
        <v>23.5</v>
      </c>
      <c r="AQ71">
        <f t="shared" si="243"/>
        <v>33.599999999999994</v>
      </c>
      <c r="AR71">
        <f t="shared" si="244"/>
        <v>16.75</v>
      </c>
      <c r="AS71">
        <f t="shared" si="245"/>
        <v>43</v>
      </c>
      <c r="AT71" s="12">
        <v>2</v>
      </c>
      <c r="AU71" s="12">
        <v>3</v>
      </c>
      <c r="AV71" s="12">
        <v>3</v>
      </c>
      <c r="AW71">
        <v>3</v>
      </c>
      <c r="AX71" s="38" t="e" vm="68">
        <v>#VALUE!</v>
      </c>
      <c r="AY71" s="59" cm="1">
        <f t="array" aca="1" ref="AY71" ca="1">_FV(AX71,"PRECIO")</f>
        <v>243.38</v>
      </c>
      <c r="AZ71" s="37">
        <v>232</v>
      </c>
      <c r="BB71" s="58">
        <f t="shared" ca="1" si="246"/>
        <v>-4.6758155970087908E-2</v>
      </c>
      <c r="BD71">
        <v>0.62</v>
      </c>
      <c r="BE71">
        <v>58</v>
      </c>
      <c r="BF71">
        <v>0.4</v>
      </c>
      <c r="BG71">
        <f t="shared" si="247"/>
        <v>100</v>
      </c>
      <c r="BH71">
        <f t="shared" si="248"/>
        <v>70</v>
      </c>
      <c r="BI71">
        <f t="shared" si="249"/>
        <v>100</v>
      </c>
      <c r="BJ71">
        <f t="shared" si="250"/>
        <v>92.5</v>
      </c>
      <c r="BK71">
        <f t="shared" si="251"/>
        <v>52</v>
      </c>
      <c r="BL71" t="str">
        <f t="shared" si="252"/>
        <v>🟠 WEAK</v>
      </c>
      <c r="BM71" s="49" t="str">
        <f t="shared" si="253"/>
        <v>🟠 UNDERWEIGHT</v>
      </c>
    </row>
    <row r="72" spans="1:65" x14ac:dyDescent="0.4">
      <c r="A72" t="s">
        <v>415</v>
      </c>
      <c r="B72" t="s">
        <v>44</v>
      </c>
      <c r="C72" s="1">
        <v>-0.50270000000000004</v>
      </c>
      <c r="D72" s="1">
        <v>-5.0000000000000001E-4</v>
      </c>
      <c r="E72" s="1">
        <v>-0.23400000000000001</v>
      </c>
      <c r="F72" s="1">
        <v>5</v>
      </c>
      <c r="G72" s="1">
        <v>-5</v>
      </c>
      <c r="H72" s="33">
        <v>3</v>
      </c>
      <c r="I72" s="33">
        <v>9.6999999999999993</v>
      </c>
      <c r="J72" s="33">
        <v>0.46</v>
      </c>
      <c r="K72" s="34">
        <v>1.5</v>
      </c>
      <c r="L72" s="18">
        <v>-1.41</v>
      </c>
      <c r="M72" s="33">
        <v>6</v>
      </c>
      <c r="N72" s="18">
        <v>2.0099999999999998</v>
      </c>
      <c r="O72" s="33">
        <v>-32</v>
      </c>
      <c r="P72" s="33">
        <v>53</v>
      </c>
      <c r="Q72" s="33">
        <v>-5.3</v>
      </c>
      <c r="R72" s="18">
        <v>0</v>
      </c>
      <c r="S72" s="18">
        <v>0</v>
      </c>
      <c r="T72" s="18">
        <v>0</v>
      </c>
      <c r="U72">
        <f t="shared" si="221"/>
        <v>0</v>
      </c>
      <c r="V72">
        <f t="shared" si="222"/>
        <v>0</v>
      </c>
      <c r="W72">
        <f t="shared" si="223"/>
        <v>0</v>
      </c>
      <c r="X72">
        <f t="shared" si="224"/>
        <v>100</v>
      </c>
      <c r="Y72">
        <f t="shared" si="225"/>
        <v>0</v>
      </c>
      <c r="Z72">
        <f t="shared" si="226"/>
        <v>100</v>
      </c>
      <c r="AA72">
        <f t="shared" si="227"/>
        <v>0</v>
      </c>
      <c r="AB72">
        <f t="shared" si="228"/>
        <v>0</v>
      </c>
      <c r="AC72">
        <f t="shared" si="229"/>
        <v>15</v>
      </c>
      <c r="AD72">
        <f t="shared" si="230"/>
        <v>0</v>
      </c>
      <c r="AE72">
        <f t="shared" si="231"/>
        <v>100</v>
      </c>
      <c r="AF72">
        <f t="shared" si="232"/>
        <v>0</v>
      </c>
      <c r="AG72">
        <f t="shared" si="233"/>
        <v>100</v>
      </c>
      <c r="AH72">
        <f t="shared" si="234"/>
        <v>0</v>
      </c>
      <c r="AI72">
        <f t="shared" si="235"/>
        <v>100</v>
      </c>
      <c r="AJ72">
        <f t="shared" si="236"/>
        <v>5</v>
      </c>
      <c r="AK72">
        <f t="shared" si="237"/>
        <v>0</v>
      </c>
      <c r="AL72">
        <f t="shared" si="238"/>
        <v>10</v>
      </c>
      <c r="AM72">
        <f t="shared" si="239"/>
        <v>0</v>
      </c>
      <c r="AN72">
        <f t="shared" si="240"/>
        <v>65</v>
      </c>
      <c r="AO72">
        <f t="shared" si="241"/>
        <v>5.25</v>
      </c>
      <c r="AP72">
        <f t="shared" si="242"/>
        <v>35</v>
      </c>
      <c r="AQ72">
        <f t="shared" si="243"/>
        <v>65</v>
      </c>
      <c r="AR72">
        <f t="shared" si="244"/>
        <v>5.75</v>
      </c>
      <c r="AS72">
        <f t="shared" si="245"/>
        <v>29</v>
      </c>
      <c r="AT72" s="12">
        <v>2</v>
      </c>
      <c r="AU72" s="12">
        <v>3</v>
      </c>
      <c r="AV72" s="12">
        <v>3</v>
      </c>
      <c r="AW72">
        <v>3</v>
      </c>
      <c r="AX72" s="38" t="e" vm="69">
        <v>#VALUE!</v>
      </c>
      <c r="AY72" s="59" cm="1">
        <f t="array" aca="1" ref="AY72" ca="1">_FV(AX72,"PRECIO")</f>
        <v>80.45</v>
      </c>
      <c r="AZ72" s="37">
        <v>97</v>
      </c>
      <c r="BB72" s="58">
        <f t="shared" ca="1" si="246"/>
        <v>0.20571783716594153</v>
      </c>
      <c r="BD72">
        <v>-0.22</v>
      </c>
      <c r="BE72">
        <v>25</v>
      </c>
      <c r="BF72">
        <v>-0.15</v>
      </c>
      <c r="BG72">
        <f t="shared" si="247"/>
        <v>10</v>
      </c>
      <c r="BH72">
        <f t="shared" si="248"/>
        <v>40</v>
      </c>
      <c r="BI72">
        <f t="shared" si="249"/>
        <v>25</v>
      </c>
      <c r="BJ72">
        <f t="shared" si="250"/>
        <v>22.8</v>
      </c>
      <c r="BK72">
        <f t="shared" si="251"/>
        <v>35</v>
      </c>
      <c r="BL72" t="str">
        <f t="shared" si="252"/>
        <v>🔴 AVOID</v>
      </c>
      <c r="BM72" s="49" t="str">
        <f t="shared" si="253"/>
        <v>🔴 SELL</v>
      </c>
    </row>
    <row r="73" spans="1:65" x14ac:dyDescent="0.4">
      <c r="A73" t="s">
        <v>416</v>
      </c>
      <c r="B73" t="s">
        <v>44</v>
      </c>
      <c r="C73" s="1">
        <v>0.54559999999999997</v>
      </c>
      <c r="D73" s="1">
        <v>0.4456</v>
      </c>
      <c r="E73" s="1">
        <v>0.29060000000000002</v>
      </c>
      <c r="F73" s="1">
        <v>0.18</v>
      </c>
      <c r="G73" s="1">
        <v>0.35</v>
      </c>
      <c r="H73" s="33">
        <v>2</v>
      </c>
      <c r="I73" s="33">
        <v>-0.27</v>
      </c>
      <c r="J73" s="33">
        <v>2.2599999999999998</v>
      </c>
      <c r="K73" s="34">
        <v>20.5</v>
      </c>
      <c r="L73" s="18">
        <v>0.30199999999999999</v>
      </c>
      <c r="M73" s="33">
        <v>1</v>
      </c>
      <c r="N73" s="18">
        <v>4.3999999999999997E-2</v>
      </c>
      <c r="O73" s="33">
        <v>22</v>
      </c>
      <c r="P73" s="33">
        <v>37.1</v>
      </c>
      <c r="Q73" s="33">
        <v>43.83</v>
      </c>
      <c r="R73" s="18">
        <v>5.8999999999999999E-3</v>
      </c>
      <c r="S73" s="18">
        <v>0.13</v>
      </c>
      <c r="T73" s="18">
        <v>0.05</v>
      </c>
      <c r="U73">
        <f t="shared" si="221"/>
        <v>100</v>
      </c>
      <c r="V73">
        <f t="shared" si="222"/>
        <v>100</v>
      </c>
      <c r="W73">
        <f t="shared" si="223"/>
        <v>100</v>
      </c>
      <c r="X73">
        <f t="shared" si="224"/>
        <v>88</v>
      </c>
      <c r="Y73">
        <f t="shared" si="225"/>
        <v>100</v>
      </c>
      <c r="Z73">
        <f t="shared" si="226"/>
        <v>100</v>
      </c>
      <c r="AA73">
        <f t="shared" si="227"/>
        <v>100</v>
      </c>
      <c r="AB73">
        <f t="shared" si="228"/>
        <v>85</v>
      </c>
      <c r="AC73">
        <f t="shared" si="229"/>
        <v>100</v>
      </c>
      <c r="AD73">
        <f t="shared" si="230"/>
        <v>100</v>
      </c>
      <c r="AE73">
        <f t="shared" si="231"/>
        <v>72</v>
      </c>
      <c r="AF73">
        <f t="shared" si="232"/>
        <v>85</v>
      </c>
      <c r="AG73">
        <f t="shared" si="233"/>
        <v>65</v>
      </c>
      <c r="AH73">
        <f t="shared" si="234"/>
        <v>12</v>
      </c>
      <c r="AI73">
        <f t="shared" si="235"/>
        <v>28</v>
      </c>
      <c r="AJ73">
        <f t="shared" si="236"/>
        <v>42</v>
      </c>
      <c r="AK73">
        <f t="shared" si="237"/>
        <v>0</v>
      </c>
      <c r="AL73">
        <f t="shared" si="238"/>
        <v>100</v>
      </c>
      <c r="AM73">
        <f t="shared" si="239"/>
        <v>100</v>
      </c>
      <c r="AN73">
        <f t="shared" si="240"/>
        <v>95.2</v>
      </c>
      <c r="AO73">
        <f t="shared" si="241"/>
        <v>95.5</v>
      </c>
      <c r="AP73">
        <f t="shared" si="242"/>
        <v>86.45</v>
      </c>
      <c r="AQ73">
        <f t="shared" si="243"/>
        <v>35.35</v>
      </c>
      <c r="AR73">
        <f t="shared" si="244"/>
        <v>53.900000000000006</v>
      </c>
      <c r="AS73">
        <f t="shared" si="245"/>
        <v>82</v>
      </c>
      <c r="AT73" s="12">
        <v>2</v>
      </c>
      <c r="AU73" s="12">
        <v>3</v>
      </c>
      <c r="AV73" s="12">
        <v>3</v>
      </c>
      <c r="AW73">
        <v>3</v>
      </c>
      <c r="AX73" s="38" t="e" vm="70">
        <v>#VALUE!</v>
      </c>
      <c r="AY73" s="59" cm="1">
        <f t="array" aca="1" ref="AY73" ca="1">_FV(AX73,"PRECIO")</f>
        <v>211.62</v>
      </c>
      <c r="AZ73" s="37">
        <v>200</v>
      </c>
      <c r="BB73" s="58">
        <f t="shared" ca="1" si="246"/>
        <v>-5.490974388054061E-2</v>
      </c>
      <c r="BD73">
        <v>0.05</v>
      </c>
      <c r="BE73">
        <v>52</v>
      </c>
      <c r="BF73">
        <v>0.1</v>
      </c>
      <c r="BG73">
        <f t="shared" si="247"/>
        <v>65</v>
      </c>
      <c r="BH73">
        <f t="shared" si="248"/>
        <v>70</v>
      </c>
      <c r="BI73">
        <f t="shared" si="249"/>
        <v>65</v>
      </c>
      <c r="BJ73">
        <f t="shared" si="250"/>
        <v>66.3</v>
      </c>
      <c r="BK73">
        <f t="shared" si="251"/>
        <v>61</v>
      </c>
      <c r="BL73" t="str">
        <f t="shared" si="252"/>
        <v>⚪ NEUTRAL</v>
      </c>
      <c r="BM73" s="49" t="str">
        <f t="shared" si="253"/>
        <v>⚠️ HOLD</v>
      </c>
    </row>
    <row r="74" spans="1:65" x14ac:dyDescent="0.4">
      <c r="A74" t="s">
        <v>417</v>
      </c>
      <c r="B74" t="s">
        <v>0</v>
      </c>
      <c r="C74" s="1">
        <v>-0.18840000000000001</v>
      </c>
      <c r="D74" s="1">
        <v>-0.10059999999999999</v>
      </c>
      <c r="E74" s="1">
        <v>-0.32940000000000003</v>
      </c>
      <c r="F74" s="1">
        <v>0.55000000000000004</v>
      </c>
      <c r="G74" s="1">
        <v>-0.3</v>
      </c>
      <c r="H74" s="33">
        <v>3</v>
      </c>
      <c r="I74" s="33">
        <v>-5.4</v>
      </c>
      <c r="J74" s="33">
        <v>3</v>
      </c>
      <c r="K74" s="34">
        <v>-10</v>
      </c>
      <c r="L74" s="18">
        <v>-0.53400000000000003</v>
      </c>
      <c r="M74" s="33">
        <v>1.6</v>
      </c>
      <c r="N74" s="18">
        <v>0.26</v>
      </c>
      <c r="O74" s="33">
        <v>-220</v>
      </c>
      <c r="P74" s="33">
        <v>-150</v>
      </c>
      <c r="Q74" s="33">
        <v>-120</v>
      </c>
      <c r="R74" s="18">
        <v>0</v>
      </c>
      <c r="S74" s="18">
        <v>0</v>
      </c>
      <c r="T74" s="18">
        <v>0</v>
      </c>
      <c r="U74">
        <f t="shared" si="221"/>
        <v>0</v>
      </c>
      <c r="V74">
        <f t="shared" si="222"/>
        <v>0</v>
      </c>
      <c r="W74">
        <f t="shared" si="223"/>
        <v>0</v>
      </c>
      <c r="X74">
        <f t="shared" si="224"/>
        <v>100</v>
      </c>
      <c r="Y74">
        <f t="shared" si="225"/>
        <v>0</v>
      </c>
      <c r="Z74">
        <f t="shared" si="226"/>
        <v>100</v>
      </c>
      <c r="AA74">
        <f t="shared" si="227"/>
        <v>100</v>
      </c>
      <c r="AB74">
        <f t="shared" si="228"/>
        <v>100</v>
      </c>
      <c r="AC74">
        <f t="shared" si="229"/>
        <v>0</v>
      </c>
      <c r="AD74">
        <f t="shared" si="230"/>
        <v>0</v>
      </c>
      <c r="AE74">
        <f t="shared" si="231"/>
        <v>100</v>
      </c>
      <c r="AF74">
        <f t="shared" si="232"/>
        <v>10</v>
      </c>
      <c r="AG74">
        <f t="shared" si="233"/>
        <v>100</v>
      </c>
      <c r="AH74">
        <f t="shared" si="234"/>
        <v>100</v>
      </c>
      <c r="AI74">
        <f t="shared" si="235"/>
        <v>100</v>
      </c>
      <c r="AJ74">
        <f t="shared" si="236"/>
        <v>5</v>
      </c>
      <c r="AK74">
        <f t="shared" si="237"/>
        <v>0</v>
      </c>
      <c r="AL74">
        <f t="shared" si="238"/>
        <v>8</v>
      </c>
      <c r="AM74">
        <f t="shared" si="239"/>
        <v>0</v>
      </c>
      <c r="AN74">
        <f t="shared" si="240"/>
        <v>65</v>
      </c>
      <c r="AO74">
        <f t="shared" si="241"/>
        <v>65</v>
      </c>
      <c r="AP74">
        <f t="shared" si="242"/>
        <v>37.5</v>
      </c>
      <c r="AQ74">
        <f t="shared" si="243"/>
        <v>100</v>
      </c>
      <c r="AR74">
        <f t="shared" si="244"/>
        <v>5.05</v>
      </c>
      <c r="AS74">
        <f t="shared" si="245"/>
        <v>47</v>
      </c>
      <c r="AT74" s="12">
        <v>2</v>
      </c>
      <c r="AU74" s="12">
        <v>3</v>
      </c>
      <c r="AV74" s="12">
        <v>3</v>
      </c>
      <c r="AW74">
        <v>3</v>
      </c>
      <c r="AX74" s="38" t="e" vm="71">
        <v>#VALUE!</v>
      </c>
      <c r="AY74" s="59" cm="1">
        <f t="array" aca="1" ref="AY74" ca="1">_FV(AX74,"PRECIO")</f>
        <v>65.94</v>
      </c>
      <c r="AZ74" s="37">
        <v>55</v>
      </c>
      <c r="BB74" s="58">
        <f t="shared" ca="1" si="246"/>
        <v>-0.16590840157719136</v>
      </c>
      <c r="BD74">
        <v>0.35</v>
      </c>
      <c r="BE74">
        <v>50</v>
      </c>
      <c r="BF74">
        <v>0.3</v>
      </c>
      <c r="BG74">
        <f t="shared" si="247"/>
        <v>100</v>
      </c>
      <c r="BH74">
        <f t="shared" si="248"/>
        <v>70</v>
      </c>
      <c r="BI74">
        <f t="shared" si="249"/>
        <v>100</v>
      </c>
      <c r="BJ74">
        <f t="shared" si="250"/>
        <v>92.5</v>
      </c>
      <c r="BK74">
        <f t="shared" si="251"/>
        <v>64</v>
      </c>
      <c r="BL74" t="str">
        <f t="shared" si="252"/>
        <v>⚪ NEUTRAL</v>
      </c>
      <c r="BM74" s="49" t="str">
        <f t="shared" si="253"/>
        <v>⚠️ HOLD</v>
      </c>
    </row>
    <row r="75" spans="1:65" x14ac:dyDescent="0.4">
      <c r="A75" t="s">
        <v>418</v>
      </c>
      <c r="B75" t="s">
        <v>44</v>
      </c>
      <c r="C75" s="1">
        <v>-7.9399999999999998E-2</v>
      </c>
      <c r="D75" s="1">
        <v>-7.6200000000000004E-2</v>
      </c>
      <c r="E75" s="1">
        <v>-8.3900000000000002E-2</v>
      </c>
      <c r="F75" s="1">
        <v>0.83</v>
      </c>
      <c r="G75" s="1">
        <v>5</v>
      </c>
      <c r="H75" s="33">
        <v>4</v>
      </c>
      <c r="I75" s="33">
        <v>0.09</v>
      </c>
      <c r="J75" s="33">
        <v>2.63</v>
      </c>
      <c r="K75" s="34">
        <v>-4.5</v>
      </c>
      <c r="L75" s="18">
        <v>-0.66</v>
      </c>
      <c r="M75" s="33">
        <v>1</v>
      </c>
      <c r="N75" s="18">
        <v>0.28999999999999998</v>
      </c>
      <c r="O75" s="33">
        <v>-200</v>
      </c>
      <c r="P75" s="33">
        <v>150</v>
      </c>
      <c r="Q75" s="33">
        <v>-24</v>
      </c>
      <c r="R75" s="18">
        <v>0</v>
      </c>
      <c r="S75" s="18">
        <v>0</v>
      </c>
      <c r="T75" s="18">
        <v>0</v>
      </c>
      <c r="U75">
        <f t="shared" si="221"/>
        <v>0</v>
      </c>
      <c r="V75">
        <f t="shared" si="222"/>
        <v>0</v>
      </c>
      <c r="W75">
        <f t="shared" si="223"/>
        <v>0</v>
      </c>
      <c r="X75">
        <f t="shared" si="224"/>
        <v>100</v>
      </c>
      <c r="Y75">
        <f t="shared" si="225"/>
        <v>100</v>
      </c>
      <c r="Z75">
        <f t="shared" si="226"/>
        <v>100</v>
      </c>
      <c r="AA75">
        <f t="shared" si="227"/>
        <v>88</v>
      </c>
      <c r="AB75">
        <f t="shared" si="228"/>
        <v>100</v>
      </c>
      <c r="AC75">
        <f t="shared" si="229"/>
        <v>0</v>
      </c>
      <c r="AD75">
        <f t="shared" si="230"/>
        <v>0</v>
      </c>
      <c r="AE75">
        <f t="shared" si="231"/>
        <v>72</v>
      </c>
      <c r="AF75">
        <f t="shared" si="232"/>
        <v>0</v>
      </c>
      <c r="AG75">
        <f t="shared" si="233"/>
        <v>100</v>
      </c>
      <c r="AH75">
        <f t="shared" si="234"/>
        <v>0</v>
      </c>
      <c r="AI75">
        <f t="shared" si="235"/>
        <v>100</v>
      </c>
      <c r="AJ75">
        <f t="shared" si="236"/>
        <v>5</v>
      </c>
      <c r="AK75">
        <f t="shared" si="237"/>
        <v>0</v>
      </c>
      <c r="AL75">
        <f t="shared" si="238"/>
        <v>10</v>
      </c>
      <c r="AM75">
        <f t="shared" si="239"/>
        <v>0</v>
      </c>
      <c r="AN75">
        <f t="shared" si="240"/>
        <v>100</v>
      </c>
      <c r="AO75">
        <f t="shared" si="241"/>
        <v>60.8</v>
      </c>
      <c r="AP75">
        <f t="shared" si="242"/>
        <v>25.2</v>
      </c>
      <c r="AQ75">
        <f t="shared" si="243"/>
        <v>65</v>
      </c>
      <c r="AR75">
        <f t="shared" si="244"/>
        <v>5.75</v>
      </c>
      <c r="AS75">
        <f t="shared" si="245"/>
        <v>43</v>
      </c>
      <c r="AT75" s="12">
        <v>2</v>
      </c>
      <c r="AU75" s="12">
        <v>3</v>
      </c>
      <c r="AV75" s="12">
        <v>3</v>
      </c>
      <c r="AW75">
        <v>3</v>
      </c>
      <c r="AX75" t="e" vm="72">
        <v>#VALUE!</v>
      </c>
      <c r="AY75" s="59" cm="1">
        <f t="array" aca="1" ref="AY75" ca="1">_FV(AX75,"PRECIO")</f>
        <v>97.42</v>
      </c>
      <c r="AZ75" s="37">
        <v>80</v>
      </c>
      <c r="BB75" s="58">
        <f t="shared" ca="1" si="246"/>
        <v>-0.17881338534181895</v>
      </c>
      <c r="BD75">
        <v>0.45</v>
      </c>
      <c r="BE75">
        <v>58</v>
      </c>
      <c r="BF75">
        <v>0.7</v>
      </c>
      <c r="BG75">
        <f t="shared" si="247"/>
        <v>100</v>
      </c>
      <c r="BH75">
        <f t="shared" si="248"/>
        <v>70</v>
      </c>
      <c r="BI75">
        <f t="shared" si="249"/>
        <v>100</v>
      </c>
      <c r="BJ75">
        <f t="shared" si="250"/>
        <v>92.5</v>
      </c>
      <c r="BK75">
        <f t="shared" si="251"/>
        <v>58</v>
      </c>
      <c r="BL75" t="str">
        <f t="shared" si="252"/>
        <v>⚪ NEUTRAL</v>
      </c>
      <c r="BM75" s="49" t="str">
        <f t="shared" si="253"/>
        <v>⚠️ HOLD</v>
      </c>
    </row>
    <row r="76" spans="1:65" x14ac:dyDescent="0.4">
      <c r="A76" t="s">
        <v>419</v>
      </c>
      <c r="B76" t="s">
        <v>44</v>
      </c>
      <c r="C76" s="1">
        <v>0.35510000000000003</v>
      </c>
      <c r="D76" s="1">
        <v>0.33689999999999998</v>
      </c>
      <c r="E76" s="1">
        <v>0.2467</v>
      </c>
      <c r="F76" s="1">
        <v>7.0000000000000007E-2</v>
      </c>
      <c r="G76" s="1">
        <v>0.1</v>
      </c>
      <c r="H76" s="33">
        <v>2</v>
      </c>
      <c r="I76" s="33">
        <v>-0.21</v>
      </c>
      <c r="J76" s="33">
        <v>2.5</v>
      </c>
      <c r="K76" s="34">
        <v>25</v>
      </c>
      <c r="L76" s="18">
        <v>0.20100000000000001</v>
      </c>
      <c r="M76" s="33">
        <v>0.81</v>
      </c>
      <c r="N76" s="18">
        <v>0.08</v>
      </c>
      <c r="O76" s="33">
        <v>20</v>
      </c>
      <c r="P76" s="33">
        <v>20</v>
      </c>
      <c r="Q76" s="33">
        <v>28</v>
      </c>
      <c r="R76" s="18">
        <v>5.5999999999999999E-3</v>
      </c>
      <c r="S76" s="18">
        <v>0.12</v>
      </c>
      <c r="T76" s="18">
        <v>0.03</v>
      </c>
      <c r="U76">
        <f t="shared" si="221"/>
        <v>100</v>
      </c>
      <c r="V76">
        <f t="shared" si="222"/>
        <v>100</v>
      </c>
      <c r="W76">
        <f t="shared" si="223"/>
        <v>88</v>
      </c>
      <c r="X76">
        <f t="shared" si="224"/>
        <v>55</v>
      </c>
      <c r="Y76">
        <f t="shared" si="225"/>
        <v>55</v>
      </c>
      <c r="Z76">
        <f t="shared" si="226"/>
        <v>100</v>
      </c>
      <c r="AA76">
        <f t="shared" si="227"/>
        <v>100</v>
      </c>
      <c r="AB76">
        <f t="shared" si="228"/>
        <v>100</v>
      </c>
      <c r="AC76">
        <f t="shared" si="229"/>
        <v>100</v>
      </c>
      <c r="AD76">
        <f t="shared" si="230"/>
        <v>88</v>
      </c>
      <c r="AE76">
        <f t="shared" si="231"/>
        <v>55</v>
      </c>
      <c r="AF76">
        <f t="shared" si="232"/>
        <v>70</v>
      </c>
      <c r="AG76">
        <f t="shared" si="233"/>
        <v>82</v>
      </c>
      <c r="AH76">
        <f t="shared" si="234"/>
        <v>65</v>
      </c>
      <c r="AI76">
        <f t="shared" si="235"/>
        <v>65</v>
      </c>
      <c r="AJ76">
        <f t="shared" si="236"/>
        <v>42</v>
      </c>
      <c r="AK76">
        <f t="shared" si="237"/>
        <v>0</v>
      </c>
      <c r="AL76">
        <f t="shared" si="238"/>
        <v>85</v>
      </c>
      <c r="AM76">
        <f t="shared" si="239"/>
        <v>96.4</v>
      </c>
      <c r="AN76">
        <f t="shared" si="240"/>
        <v>66.25</v>
      </c>
      <c r="AO76">
        <f t="shared" si="241"/>
        <v>100</v>
      </c>
      <c r="AP76">
        <f t="shared" si="242"/>
        <v>71.95</v>
      </c>
      <c r="AQ76">
        <f t="shared" si="243"/>
        <v>70.95</v>
      </c>
      <c r="AR76">
        <f t="shared" si="244"/>
        <v>48.65</v>
      </c>
      <c r="AS76">
        <f t="shared" si="245"/>
        <v>79</v>
      </c>
      <c r="AT76" s="12">
        <v>2</v>
      </c>
      <c r="AU76" s="12">
        <v>3</v>
      </c>
      <c r="AV76" s="12">
        <v>3</v>
      </c>
      <c r="AW76">
        <v>3</v>
      </c>
      <c r="AX76" s="38" t="e" vm="73">
        <v>#VALUE!</v>
      </c>
      <c r="AY76" s="59" cm="1">
        <f t="array" aca="1" ref="AY76" ca="1">_FV(AX76,"PRECIO")</f>
        <v>1620</v>
      </c>
      <c r="AZ76" s="37">
        <v>380</v>
      </c>
      <c r="BB76" s="58">
        <f t="shared" ca="1" si="246"/>
        <v>-0.76543209876543206</v>
      </c>
      <c r="BD76">
        <v>0.1</v>
      </c>
      <c r="BE76">
        <v>55</v>
      </c>
      <c r="BF76">
        <v>0.12</v>
      </c>
      <c r="BG76">
        <f t="shared" si="247"/>
        <v>80</v>
      </c>
      <c r="BH76">
        <f t="shared" si="248"/>
        <v>70</v>
      </c>
      <c r="BI76">
        <f t="shared" si="249"/>
        <v>80</v>
      </c>
      <c r="BJ76">
        <f t="shared" si="250"/>
        <v>77.5</v>
      </c>
      <c r="BK76">
        <f t="shared" si="251"/>
        <v>70</v>
      </c>
      <c r="BL76" t="str">
        <f t="shared" si="252"/>
        <v>🟡 FAVORABLE</v>
      </c>
      <c r="BM76" s="49" t="str">
        <f t="shared" si="253"/>
        <v>✅ BUY</v>
      </c>
    </row>
    <row r="77" spans="1:65" x14ac:dyDescent="0.4">
      <c r="A77" t="s">
        <v>420</v>
      </c>
      <c r="B77" t="s">
        <v>45</v>
      </c>
      <c r="C77" s="1">
        <v>0.08</v>
      </c>
      <c r="D77" s="1">
        <v>5.4800000000000001E-2</v>
      </c>
      <c r="E77" s="1">
        <v>8.1500000000000003E-2</v>
      </c>
      <c r="F77" s="1">
        <v>0.11</v>
      </c>
      <c r="G77" s="1">
        <v>0.08</v>
      </c>
      <c r="H77" s="33">
        <v>1.5</v>
      </c>
      <c r="I77" s="33">
        <v>1.5</v>
      </c>
      <c r="J77" s="33">
        <v>1.2</v>
      </c>
      <c r="K77" s="34">
        <v>10</v>
      </c>
      <c r="L77" s="18">
        <v>0.1</v>
      </c>
      <c r="M77" s="33">
        <v>1.2</v>
      </c>
      <c r="N77" s="18">
        <v>0.04</v>
      </c>
      <c r="O77" s="33">
        <v>28</v>
      </c>
      <c r="P77" s="33">
        <v>15</v>
      </c>
      <c r="Q77" s="33">
        <v>30</v>
      </c>
      <c r="R77" s="18">
        <v>1.7999999999999999E-2</v>
      </c>
      <c r="S77" s="18">
        <v>0.45</v>
      </c>
      <c r="T77" s="18">
        <v>1.4999999999999999E-2</v>
      </c>
      <c r="U77">
        <f t="shared" si="221"/>
        <v>35</v>
      </c>
      <c r="V77">
        <f t="shared" si="222"/>
        <v>35</v>
      </c>
      <c r="W77">
        <f t="shared" si="223"/>
        <v>55</v>
      </c>
      <c r="X77">
        <f t="shared" si="224"/>
        <v>72</v>
      </c>
      <c r="Y77">
        <f t="shared" si="225"/>
        <v>55</v>
      </c>
      <c r="Z77">
        <f t="shared" si="226"/>
        <v>85</v>
      </c>
      <c r="AA77">
        <f t="shared" si="227"/>
        <v>70</v>
      </c>
      <c r="AB77">
        <f t="shared" si="228"/>
        <v>52</v>
      </c>
      <c r="AC77">
        <f t="shared" si="229"/>
        <v>85</v>
      </c>
      <c r="AD77">
        <f t="shared" si="230"/>
        <v>68</v>
      </c>
      <c r="AE77">
        <f t="shared" si="231"/>
        <v>100</v>
      </c>
      <c r="AF77">
        <f t="shared" si="232"/>
        <v>85</v>
      </c>
      <c r="AG77">
        <f t="shared" si="233"/>
        <v>48</v>
      </c>
      <c r="AH77">
        <f t="shared" si="234"/>
        <v>65</v>
      </c>
      <c r="AI77">
        <f t="shared" si="235"/>
        <v>65</v>
      </c>
      <c r="AJ77">
        <f t="shared" si="236"/>
        <v>62</v>
      </c>
      <c r="AK77">
        <f t="shared" si="237"/>
        <v>100</v>
      </c>
      <c r="AL77">
        <f t="shared" si="238"/>
        <v>50</v>
      </c>
      <c r="AM77">
        <f t="shared" si="239"/>
        <v>41</v>
      </c>
      <c r="AN77">
        <f t="shared" si="240"/>
        <v>69.3</v>
      </c>
      <c r="AO77">
        <f t="shared" si="241"/>
        <v>69.849999999999994</v>
      </c>
      <c r="AP77">
        <f t="shared" si="242"/>
        <v>83.45</v>
      </c>
      <c r="AQ77">
        <f t="shared" si="243"/>
        <v>59.05</v>
      </c>
      <c r="AR77">
        <f t="shared" si="244"/>
        <v>65.400000000000006</v>
      </c>
      <c r="AS77">
        <f t="shared" si="245"/>
        <v>63</v>
      </c>
      <c r="AT77" s="12">
        <v>2</v>
      </c>
      <c r="AU77" s="12">
        <v>3</v>
      </c>
      <c r="AV77" s="12">
        <v>3</v>
      </c>
      <c r="AW77">
        <v>3</v>
      </c>
      <c r="AX77" s="38" t="e" vm="74">
        <v>#VALUE!</v>
      </c>
      <c r="AY77" s="59" cm="1">
        <f t="array" aca="1" ref="AY77" ca="1">_FV(AX77,"PRECIO")</f>
        <v>194.55</v>
      </c>
      <c r="AZ77" s="37">
        <v>180</v>
      </c>
      <c r="BB77" s="58">
        <f t="shared" ca="1" si="246"/>
        <v>-7.4787972243639228E-2</v>
      </c>
      <c r="BD77">
        <v>-0.27</v>
      </c>
      <c r="BE77">
        <v>38</v>
      </c>
      <c r="BF77">
        <v>-0.3</v>
      </c>
      <c r="BG77">
        <f t="shared" si="247"/>
        <v>10</v>
      </c>
      <c r="BH77">
        <f t="shared" si="248"/>
        <v>55</v>
      </c>
      <c r="BI77">
        <f t="shared" si="249"/>
        <v>10</v>
      </c>
      <c r="BJ77">
        <f t="shared" si="250"/>
        <v>21.3</v>
      </c>
      <c r="BK77">
        <f t="shared" si="251"/>
        <v>47</v>
      </c>
      <c r="BL77" t="str">
        <f t="shared" si="252"/>
        <v>🟠 WEAK</v>
      </c>
      <c r="BM77" s="49" t="str">
        <f t="shared" si="253"/>
        <v>🟠 UNDERWEIGHT</v>
      </c>
    </row>
    <row r="78" spans="1:65" x14ac:dyDescent="0.4">
      <c r="A78" t="s">
        <v>421</v>
      </c>
      <c r="B78" t="s">
        <v>44</v>
      </c>
      <c r="C78" s="1">
        <v>2.0000000000000001E-4</v>
      </c>
      <c r="D78" s="1">
        <v>1E-4</v>
      </c>
      <c r="E78" s="1">
        <v>-5.0000000000000001E-3</v>
      </c>
      <c r="F78" s="1">
        <v>-0.02</v>
      </c>
      <c r="G78" s="1">
        <v>-0.5</v>
      </c>
      <c r="H78" s="33">
        <v>3</v>
      </c>
      <c r="I78" s="33">
        <v>0.87</v>
      </c>
      <c r="J78" s="33">
        <v>1.24</v>
      </c>
      <c r="K78" s="34">
        <v>3</v>
      </c>
      <c r="L78" s="18">
        <v>-9.4E-2</v>
      </c>
      <c r="M78" s="33">
        <v>18.5</v>
      </c>
      <c r="N78" s="18">
        <v>0.27700000000000002</v>
      </c>
      <c r="O78" s="33">
        <v>100</v>
      </c>
      <c r="P78" s="33">
        <v>12</v>
      </c>
      <c r="Q78" s="33">
        <v>-20</v>
      </c>
      <c r="R78" s="18">
        <v>0</v>
      </c>
      <c r="S78" s="18">
        <v>0</v>
      </c>
      <c r="T78" s="18">
        <v>0</v>
      </c>
      <c r="U78">
        <f t="shared" si="221"/>
        <v>0</v>
      </c>
      <c r="V78">
        <f t="shared" si="222"/>
        <v>0</v>
      </c>
      <c r="W78">
        <f t="shared" si="223"/>
        <v>0</v>
      </c>
      <c r="X78">
        <f t="shared" si="224"/>
        <v>0</v>
      </c>
      <c r="Y78">
        <f t="shared" si="225"/>
        <v>0</v>
      </c>
      <c r="Z78">
        <f t="shared" si="226"/>
        <v>100</v>
      </c>
      <c r="AA78">
        <f t="shared" si="227"/>
        <v>72</v>
      </c>
      <c r="AB78">
        <f t="shared" si="228"/>
        <v>52</v>
      </c>
      <c r="AC78">
        <f t="shared" si="229"/>
        <v>50</v>
      </c>
      <c r="AD78">
        <f t="shared" si="230"/>
        <v>0</v>
      </c>
      <c r="AE78">
        <f t="shared" si="231"/>
        <v>100</v>
      </c>
      <c r="AF78">
        <f t="shared" si="232"/>
        <v>0</v>
      </c>
      <c r="AG78">
        <f t="shared" si="233"/>
        <v>0</v>
      </c>
      <c r="AH78">
        <f t="shared" si="234"/>
        <v>100</v>
      </c>
      <c r="AI78">
        <f t="shared" si="235"/>
        <v>100</v>
      </c>
      <c r="AJ78">
        <f t="shared" si="236"/>
        <v>5</v>
      </c>
      <c r="AK78">
        <f t="shared" si="237"/>
        <v>0</v>
      </c>
      <c r="AL78">
        <f t="shared" si="238"/>
        <v>10</v>
      </c>
      <c r="AM78">
        <f t="shared" si="239"/>
        <v>0</v>
      </c>
      <c r="AN78">
        <f t="shared" si="240"/>
        <v>25</v>
      </c>
      <c r="AO78">
        <f t="shared" si="241"/>
        <v>58.3</v>
      </c>
      <c r="AP78">
        <f t="shared" si="242"/>
        <v>35</v>
      </c>
      <c r="AQ78">
        <f t="shared" si="243"/>
        <v>65</v>
      </c>
      <c r="AR78">
        <f t="shared" si="244"/>
        <v>5.75</v>
      </c>
      <c r="AS78">
        <f t="shared" si="245"/>
        <v>29</v>
      </c>
      <c r="AT78" s="12">
        <v>2</v>
      </c>
      <c r="AU78" s="12">
        <v>3</v>
      </c>
      <c r="AV78" s="12">
        <v>3</v>
      </c>
      <c r="AW78">
        <v>3</v>
      </c>
      <c r="AX78" s="38" t="e" vm="75">
        <v>#VALUE!</v>
      </c>
      <c r="AY78" s="59" cm="1">
        <f t="array" aca="1" ref="AY78" ca="1">_FV(AX78,"PRECIO")</f>
        <v>44.1</v>
      </c>
      <c r="AZ78" s="37">
        <v>32</v>
      </c>
      <c r="BB78" s="58">
        <f t="shared" ca="1" si="246"/>
        <v>-0.2743764172335601</v>
      </c>
      <c r="BD78">
        <v>0.85</v>
      </c>
      <c r="BE78">
        <v>51</v>
      </c>
      <c r="BF78">
        <v>0.6</v>
      </c>
      <c r="BG78">
        <f t="shared" si="247"/>
        <v>100</v>
      </c>
      <c r="BH78">
        <f t="shared" si="248"/>
        <v>70</v>
      </c>
      <c r="BI78">
        <f t="shared" si="249"/>
        <v>100</v>
      </c>
      <c r="BJ78">
        <f t="shared" si="250"/>
        <v>92.5</v>
      </c>
      <c r="BK78">
        <f t="shared" si="251"/>
        <v>52</v>
      </c>
      <c r="BL78" t="str">
        <f t="shared" si="252"/>
        <v>🟠 WEAK</v>
      </c>
      <c r="BM78" s="49" t="str">
        <f t="shared" si="253"/>
        <v>🟠 UNDERWEIGHT</v>
      </c>
    </row>
    <row r="79" spans="1:65" x14ac:dyDescent="0.4">
      <c r="A79" t="s">
        <v>422</v>
      </c>
      <c r="B79" t="s">
        <v>44</v>
      </c>
      <c r="C79" s="1">
        <v>0.184</v>
      </c>
      <c r="D79" s="1">
        <v>6.08E-2</v>
      </c>
      <c r="E79" s="1">
        <v>0.27500000000000002</v>
      </c>
      <c r="F79" s="1">
        <v>3</v>
      </c>
      <c r="G79" s="1">
        <v>5</v>
      </c>
      <c r="H79" s="33">
        <v>3</v>
      </c>
      <c r="I79" s="33">
        <v>-1.5</v>
      </c>
      <c r="J79" s="33">
        <v>5</v>
      </c>
      <c r="K79" s="34">
        <v>50</v>
      </c>
      <c r="L79" s="18">
        <v>0.317</v>
      </c>
      <c r="M79" s="33">
        <v>1.1499999999999999</v>
      </c>
      <c r="N79" s="18">
        <v>4.7E-2</v>
      </c>
      <c r="O79" s="33">
        <v>80</v>
      </c>
      <c r="P79" s="33">
        <v>120</v>
      </c>
      <c r="Q79" s="33">
        <v>150</v>
      </c>
      <c r="R79" s="18">
        <v>0</v>
      </c>
      <c r="S79" s="18">
        <v>0</v>
      </c>
      <c r="T79" s="18">
        <v>0</v>
      </c>
      <c r="U79">
        <f t="shared" si="221"/>
        <v>72</v>
      </c>
      <c r="V79">
        <f t="shared" si="222"/>
        <v>35</v>
      </c>
      <c r="W79">
        <f t="shared" si="223"/>
        <v>100</v>
      </c>
      <c r="X79">
        <f t="shared" si="224"/>
        <v>100</v>
      </c>
      <c r="Y79">
        <f t="shared" si="225"/>
        <v>100</v>
      </c>
      <c r="Z79">
        <f t="shared" si="226"/>
        <v>100</v>
      </c>
      <c r="AA79">
        <f t="shared" si="227"/>
        <v>100</v>
      </c>
      <c r="AB79">
        <f t="shared" si="228"/>
        <v>100</v>
      </c>
      <c r="AC79">
        <f t="shared" si="229"/>
        <v>100</v>
      </c>
      <c r="AD79">
        <f t="shared" si="230"/>
        <v>100</v>
      </c>
      <c r="AE79">
        <f t="shared" si="231"/>
        <v>88</v>
      </c>
      <c r="AF79">
        <f t="shared" si="232"/>
        <v>85</v>
      </c>
      <c r="AG79">
        <f t="shared" si="233"/>
        <v>0</v>
      </c>
      <c r="AH79">
        <f t="shared" si="234"/>
        <v>0</v>
      </c>
      <c r="AI79">
        <f t="shared" si="235"/>
        <v>0</v>
      </c>
      <c r="AJ79">
        <f t="shared" si="236"/>
        <v>5</v>
      </c>
      <c r="AK79">
        <f t="shared" si="237"/>
        <v>0</v>
      </c>
      <c r="AL79">
        <f t="shared" si="238"/>
        <v>10</v>
      </c>
      <c r="AM79">
        <f t="shared" si="239"/>
        <v>67.45</v>
      </c>
      <c r="AN79">
        <f t="shared" si="240"/>
        <v>100</v>
      </c>
      <c r="AO79">
        <f t="shared" si="241"/>
        <v>100</v>
      </c>
      <c r="AP79">
        <f t="shared" si="242"/>
        <v>92.05</v>
      </c>
      <c r="AQ79">
        <f t="shared" si="243"/>
        <v>0</v>
      </c>
      <c r="AR79">
        <f t="shared" si="244"/>
        <v>5.75</v>
      </c>
      <c r="AS79">
        <f t="shared" si="245"/>
        <v>66</v>
      </c>
      <c r="AT79" s="12">
        <v>2</v>
      </c>
      <c r="AU79" s="12">
        <v>3</v>
      </c>
      <c r="AV79" s="12">
        <v>3</v>
      </c>
      <c r="AW79">
        <v>3</v>
      </c>
      <c r="AX79" s="38" t="e" vm="76">
        <v>#VALUE!</v>
      </c>
      <c r="AY79" s="59" cm="1">
        <f t="array" aca="1" ref="AY79" ca="1">_FV(AX79,"PRECIO")</f>
        <v>113.605</v>
      </c>
      <c r="AZ79" s="37">
        <v>120</v>
      </c>
      <c r="BB79" s="58">
        <f t="shared" ca="1" si="246"/>
        <v>5.6291536464064047E-2</v>
      </c>
      <c r="BD79">
        <v>-0.32</v>
      </c>
      <c r="BE79">
        <v>42</v>
      </c>
      <c r="BF79">
        <v>-0.4</v>
      </c>
      <c r="BG79">
        <f t="shared" si="247"/>
        <v>10</v>
      </c>
      <c r="BH79">
        <f t="shared" si="248"/>
        <v>70</v>
      </c>
      <c r="BI79">
        <f t="shared" si="249"/>
        <v>10</v>
      </c>
      <c r="BJ79">
        <f t="shared" si="250"/>
        <v>25</v>
      </c>
      <c r="BK79">
        <f t="shared" si="251"/>
        <v>40</v>
      </c>
      <c r="BL79" t="str">
        <f t="shared" si="252"/>
        <v>🟠 WEAK</v>
      </c>
      <c r="BM79" s="49" t="str">
        <f t="shared" si="253"/>
        <v>🔴 SELL</v>
      </c>
    </row>
    <row r="80" spans="1:65" x14ac:dyDescent="0.4">
      <c r="A80" t="s">
        <v>423</v>
      </c>
      <c r="B80" t="s">
        <v>44</v>
      </c>
      <c r="C80" s="1">
        <v>0.11269999999999999</v>
      </c>
      <c r="D80" s="1">
        <v>0.1845</v>
      </c>
      <c r="E80" s="1">
        <v>0.17150000000000001</v>
      </c>
      <c r="F80" s="1">
        <v>0.24</v>
      </c>
      <c r="G80" s="1">
        <v>1.59</v>
      </c>
      <c r="H80" s="33">
        <v>3</v>
      </c>
      <c r="I80" s="33">
        <v>-6.5</v>
      </c>
      <c r="J80" s="33">
        <v>4</v>
      </c>
      <c r="K80" s="34">
        <v>50</v>
      </c>
      <c r="L80" s="18">
        <v>0.20899999999999999</v>
      </c>
      <c r="M80" s="33">
        <v>1.22</v>
      </c>
      <c r="N80" s="18">
        <v>0.11700000000000001</v>
      </c>
      <c r="O80" s="33">
        <v>75</v>
      </c>
      <c r="P80" s="33">
        <v>100</v>
      </c>
      <c r="Q80" s="33">
        <v>120</v>
      </c>
      <c r="R80" s="18">
        <v>0</v>
      </c>
      <c r="S80" s="18">
        <v>0</v>
      </c>
      <c r="T80" s="18">
        <v>0</v>
      </c>
      <c r="U80">
        <f t="shared" si="221"/>
        <v>55</v>
      </c>
      <c r="V80">
        <f t="shared" si="222"/>
        <v>72</v>
      </c>
      <c r="W80">
        <f t="shared" si="223"/>
        <v>72</v>
      </c>
      <c r="X80">
        <f t="shared" si="224"/>
        <v>88</v>
      </c>
      <c r="Y80">
        <f t="shared" si="225"/>
        <v>100</v>
      </c>
      <c r="Z80">
        <f t="shared" si="226"/>
        <v>100</v>
      </c>
      <c r="AA80">
        <f t="shared" si="227"/>
        <v>100</v>
      </c>
      <c r="AB80">
        <f t="shared" si="228"/>
        <v>100</v>
      </c>
      <c r="AC80">
        <f t="shared" si="229"/>
        <v>100</v>
      </c>
      <c r="AD80">
        <f t="shared" si="230"/>
        <v>88</v>
      </c>
      <c r="AE80">
        <f t="shared" si="231"/>
        <v>88</v>
      </c>
      <c r="AF80">
        <f t="shared" si="232"/>
        <v>52</v>
      </c>
      <c r="AG80">
        <f t="shared" si="233"/>
        <v>0</v>
      </c>
      <c r="AH80">
        <f t="shared" si="234"/>
        <v>0</v>
      </c>
      <c r="AI80">
        <f t="shared" si="235"/>
        <v>0</v>
      </c>
      <c r="AJ80">
        <f t="shared" si="236"/>
        <v>5</v>
      </c>
      <c r="AK80">
        <f t="shared" si="237"/>
        <v>0</v>
      </c>
      <c r="AL80">
        <f t="shared" si="238"/>
        <v>10</v>
      </c>
      <c r="AM80">
        <f t="shared" si="239"/>
        <v>66.05</v>
      </c>
      <c r="AN80">
        <f t="shared" si="240"/>
        <v>95.2</v>
      </c>
      <c r="AO80">
        <f t="shared" si="241"/>
        <v>100</v>
      </c>
      <c r="AP80">
        <f t="shared" si="242"/>
        <v>79</v>
      </c>
      <c r="AQ80">
        <f t="shared" si="243"/>
        <v>0</v>
      </c>
      <c r="AR80">
        <f t="shared" si="244"/>
        <v>5.75</v>
      </c>
      <c r="AS80">
        <f t="shared" si="245"/>
        <v>63</v>
      </c>
      <c r="AT80" s="12">
        <v>2</v>
      </c>
      <c r="AU80" s="12">
        <v>3</v>
      </c>
      <c r="AV80" s="12">
        <v>3</v>
      </c>
      <c r="AW80">
        <v>3</v>
      </c>
      <c r="AX80" s="38" t="e" vm="77">
        <v>#VALUE!</v>
      </c>
      <c r="AY80" s="59" cm="1">
        <f t="array" aca="1" ref="AY80" ca="1">_FV(AX80,"PRECIO")</f>
        <v>154.80000000000001</v>
      </c>
      <c r="AZ80" s="37">
        <v>80</v>
      </c>
      <c r="BB80" s="58">
        <f t="shared" ca="1" si="246"/>
        <v>-0.48320413436692511</v>
      </c>
      <c r="BD80">
        <v>-0.1</v>
      </c>
      <c r="BE80">
        <v>55</v>
      </c>
      <c r="BF80">
        <v>-0.05</v>
      </c>
      <c r="BG80">
        <f t="shared" si="247"/>
        <v>10</v>
      </c>
      <c r="BH80">
        <f t="shared" si="248"/>
        <v>70</v>
      </c>
      <c r="BI80">
        <f t="shared" si="249"/>
        <v>45</v>
      </c>
      <c r="BJ80">
        <f t="shared" si="250"/>
        <v>37.299999999999997</v>
      </c>
      <c r="BK80">
        <f t="shared" si="251"/>
        <v>42</v>
      </c>
      <c r="BL80" t="str">
        <f t="shared" si="252"/>
        <v>🟠 WEAK</v>
      </c>
      <c r="BM80" s="49" t="str">
        <f t="shared" si="253"/>
        <v>🔴 SELL</v>
      </c>
    </row>
    <row r="81" spans="1:65" x14ac:dyDescent="0.4">
      <c r="A81" t="s">
        <v>424</v>
      </c>
      <c r="B81" t="s">
        <v>47</v>
      </c>
      <c r="C81" s="1">
        <v>0.3599</v>
      </c>
      <c r="D81" s="1">
        <v>0.20760000000000001</v>
      </c>
      <c r="E81" s="1">
        <v>6.9199999999999998E-2</v>
      </c>
      <c r="F81" s="1">
        <v>0.39</v>
      </c>
      <c r="G81" s="1">
        <v>0.05</v>
      </c>
      <c r="H81" s="33">
        <v>2</v>
      </c>
      <c r="I81" s="33">
        <v>0.5</v>
      </c>
      <c r="J81" s="33">
        <v>1.17</v>
      </c>
      <c r="K81" s="34">
        <v>8</v>
      </c>
      <c r="L81" s="18">
        <v>0.35</v>
      </c>
      <c r="M81" s="33">
        <v>5</v>
      </c>
      <c r="N81" s="18">
        <v>0.03</v>
      </c>
      <c r="O81" s="33">
        <v>30</v>
      </c>
      <c r="P81" s="33">
        <v>23.23</v>
      </c>
      <c r="Q81" s="33">
        <v>8.67</v>
      </c>
      <c r="R81" s="18">
        <v>0</v>
      </c>
      <c r="S81" s="18">
        <v>0</v>
      </c>
      <c r="T81" s="18">
        <v>0</v>
      </c>
      <c r="U81">
        <f t="shared" si="221"/>
        <v>100</v>
      </c>
      <c r="V81">
        <f t="shared" si="222"/>
        <v>100</v>
      </c>
      <c r="W81">
        <f t="shared" si="223"/>
        <v>68</v>
      </c>
      <c r="X81">
        <f t="shared" si="224"/>
        <v>100</v>
      </c>
      <c r="Y81">
        <f t="shared" si="225"/>
        <v>50</v>
      </c>
      <c r="Z81">
        <f t="shared" si="226"/>
        <v>100</v>
      </c>
      <c r="AA81">
        <f t="shared" si="227"/>
        <v>85</v>
      </c>
      <c r="AB81">
        <f t="shared" si="228"/>
        <v>52</v>
      </c>
      <c r="AC81">
        <f t="shared" si="229"/>
        <v>85</v>
      </c>
      <c r="AD81">
        <f t="shared" si="230"/>
        <v>100</v>
      </c>
      <c r="AE81">
        <f t="shared" si="231"/>
        <v>100</v>
      </c>
      <c r="AF81">
        <f t="shared" si="232"/>
        <v>100</v>
      </c>
      <c r="AG81">
        <f t="shared" si="233"/>
        <v>30</v>
      </c>
      <c r="AH81">
        <f t="shared" si="234"/>
        <v>28</v>
      </c>
      <c r="AI81">
        <f t="shared" si="235"/>
        <v>100</v>
      </c>
      <c r="AJ81">
        <f t="shared" si="236"/>
        <v>5</v>
      </c>
      <c r="AK81">
        <f t="shared" si="237"/>
        <v>0</v>
      </c>
      <c r="AL81">
        <f t="shared" si="238"/>
        <v>10</v>
      </c>
      <c r="AM81">
        <f t="shared" si="239"/>
        <v>90.4</v>
      </c>
      <c r="AN81">
        <f t="shared" si="240"/>
        <v>82.5</v>
      </c>
      <c r="AO81">
        <f t="shared" si="241"/>
        <v>75.099999999999994</v>
      </c>
      <c r="AP81">
        <f t="shared" si="242"/>
        <v>100</v>
      </c>
      <c r="AQ81">
        <f t="shared" si="243"/>
        <v>50.3</v>
      </c>
      <c r="AR81">
        <f t="shared" si="244"/>
        <v>5.75</v>
      </c>
      <c r="AS81">
        <f t="shared" si="245"/>
        <v>73</v>
      </c>
      <c r="AT81" s="12">
        <v>2</v>
      </c>
      <c r="AU81" s="12">
        <v>3</v>
      </c>
      <c r="AV81" s="12">
        <v>3</v>
      </c>
      <c r="AW81">
        <v>3</v>
      </c>
      <c r="AX81" s="38" t="e" vm="78">
        <v>#VALUE!</v>
      </c>
      <c r="AY81" s="59" cm="1">
        <f t="array" aca="1" ref="AY81" ca="1">_FV(AX81,"PRECIO")</f>
        <v>1630.99</v>
      </c>
      <c r="AZ81" s="37">
        <v>2100</v>
      </c>
      <c r="BB81" s="58">
        <f t="shared" ca="1" si="246"/>
        <v>0.28756154237610287</v>
      </c>
      <c r="BD81">
        <v>0.08</v>
      </c>
      <c r="BE81">
        <v>55</v>
      </c>
      <c r="BF81">
        <v>0.1</v>
      </c>
      <c r="BG81">
        <f t="shared" si="247"/>
        <v>80</v>
      </c>
      <c r="BH81">
        <f t="shared" si="248"/>
        <v>70</v>
      </c>
      <c r="BI81">
        <f t="shared" si="249"/>
        <v>65</v>
      </c>
      <c r="BJ81">
        <f t="shared" si="250"/>
        <v>72.3</v>
      </c>
      <c r="BK81">
        <f t="shared" si="251"/>
        <v>62</v>
      </c>
      <c r="BL81" t="str">
        <f t="shared" si="252"/>
        <v>⚪ NEUTRAL</v>
      </c>
      <c r="BM81" s="49" t="str">
        <f t="shared" si="253"/>
        <v>⚠️ HOLD</v>
      </c>
    </row>
    <row r="82" spans="1:65" x14ac:dyDescent="0.4">
      <c r="A82" t="s">
        <v>425</v>
      </c>
      <c r="B82" t="s">
        <v>46</v>
      </c>
      <c r="C82" s="1">
        <v>0.21990000000000001</v>
      </c>
      <c r="D82" s="1">
        <v>8.0699999999999994E-2</v>
      </c>
      <c r="E82" s="1">
        <v>0.42099999999999999</v>
      </c>
      <c r="F82" s="1">
        <v>0.6</v>
      </c>
      <c r="G82" s="1">
        <v>5</v>
      </c>
      <c r="H82" s="33">
        <v>3</v>
      </c>
      <c r="I82" s="33">
        <v>-0.01</v>
      </c>
      <c r="J82" s="33">
        <v>1.3</v>
      </c>
      <c r="K82" s="34">
        <v>100</v>
      </c>
      <c r="L82" s="18">
        <v>0.36299999999999999</v>
      </c>
      <c r="M82" s="33">
        <v>0.86</v>
      </c>
      <c r="N82" s="18">
        <v>3.0000000000000001E-3</v>
      </c>
      <c r="O82" s="33">
        <v>25</v>
      </c>
      <c r="P82" s="33">
        <v>20</v>
      </c>
      <c r="Q82" s="33">
        <v>22</v>
      </c>
      <c r="R82" s="18">
        <v>0</v>
      </c>
      <c r="S82" s="18">
        <v>0</v>
      </c>
      <c r="T82" s="18">
        <v>0</v>
      </c>
      <c r="U82">
        <f t="shared" si="221"/>
        <v>100</v>
      </c>
      <c r="V82">
        <f t="shared" si="222"/>
        <v>72</v>
      </c>
      <c r="W82">
        <f t="shared" si="223"/>
        <v>100</v>
      </c>
      <c r="X82">
        <f t="shared" si="224"/>
        <v>100</v>
      </c>
      <c r="Y82">
        <f t="shared" si="225"/>
        <v>100</v>
      </c>
      <c r="Z82">
        <f t="shared" si="226"/>
        <v>100</v>
      </c>
      <c r="AA82">
        <f t="shared" si="227"/>
        <v>100</v>
      </c>
      <c r="AB82">
        <f t="shared" si="228"/>
        <v>85</v>
      </c>
      <c r="AC82">
        <f t="shared" si="229"/>
        <v>100</v>
      </c>
      <c r="AD82">
        <f t="shared" si="230"/>
        <v>100</v>
      </c>
      <c r="AE82">
        <f t="shared" si="231"/>
        <v>70</v>
      </c>
      <c r="AF82">
        <f t="shared" si="232"/>
        <v>100</v>
      </c>
      <c r="AG82">
        <f t="shared" si="233"/>
        <v>32</v>
      </c>
      <c r="AH82">
        <f t="shared" si="234"/>
        <v>32</v>
      </c>
      <c r="AI82">
        <f t="shared" si="235"/>
        <v>68</v>
      </c>
      <c r="AJ82">
        <f t="shared" si="236"/>
        <v>8</v>
      </c>
      <c r="AK82">
        <f t="shared" si="237"/>
        <v>0</v>
      </c>
      <c r="AL82">
        <f t="shared" si="238"/>
        <v>10</v>
      </c>
      <c r="AM82">
        <f t="shared" si="239"/>
        <v>90.2</v>
      </c>
      <c r="AN82">
        <f t="shared" si="240"/>
        <v>100</v>
      </c>
      <c r="AO82">
        <f t="shared" si="241"/>
        <v>95.5</v>
      </c>
      <c r="AP82">
        <f t="shared" si="242"/>
        <v>89.5</v>
      </c>
      <c r="AQ82">
        <f t="shared" si="243"/>
        <v>42.8</v>
      </c>
      <c r="AR82">
        <f t="shared" si="244"/>
        <v>7.1</v>
      </c>
      <c r="AS82">
        <f t="shared" si="245"/>
        <v>78</v>
      </c>
      <c r="AT82" s="12">
        <v>2</v>
      </c>
      <c r="AU82" s="12">
        <v>3</v>
      </c>
      <c r="AV82" s="12">
        <v>3</v>
      </c>
      <c r="AW82">
        <v>3</v>
      </c>
      <c r="AX82" s="38" t="e" vm="79">
        <v>#VALUE!</v>
      </c>
      <c r="AY82" s="59" cm="1">
        <f t="array" aca="1" ref="AY82" ca="1">_FV(AX82,"PRECIO")</f>
        <v>70.349999999999994</v>
      </c>
      <c r="AZ82" s="37">
        <v>76</v>
      </c>
      <c r="BB82" s="58">
        <f t="shared" ca="1" si="246"/>
        <v>8.031272210376697E-2</v>
      </c>
      <c r="BD82">
        <v>0.12</v>
      </c>
      <c r="BE82">
        <v>52</v>
      </c>
      <c r="BF82">
        <v>0.15</v>
      </c>
      <c r="BG82">
        <f t="shared" si="247"/>
        <v>100</v>
      </c>
      <c r="BH82">
        <f t="shared" si="248"/>
        <v>70</v>
      </c>
      <c r="BI82">
        <f t="shared" si="249"/>
        <v>80</v>
      </c>
      <c r="BJ82">
        <f t="shared" si="250"/>
        <v>85.5</v>
      </c>
      <c r="BK82">
        <f t="shared" si="251"/>
        <v>66</v>
      </c>
      <c r="BL82" t="str">
        <f t="shared" si="252"/>
        <v>⚪ NEUTRAL</v>
      </c>
      <c r="BM82" s="49" t="str">
        <f t="shared" si="253"/>
        <v>✅ BUY</v>
      </c>
    </row>
    <row r="83" spans="1:65" x14ac:dyDescent="0.4">
      <c r="A83" t="s">
        <v>426</v>
      </c>
      <c r="B83" t="s">
        <v>44</v>
      </c>
      <c r="C83" s="1">
        <v>0.21740000000000001</v>
      </c>
      <c r="D83" s="1">
        <v>0.2611</v>
      </c>
      <c r="E83" s="1">
        <v>0.20349999999999999</v>
      </c>
      <c r="F83" s="1">
        <v>0.15</v>
      </c>
      <c r="G83" s="1">
        <v>0.15</v>
      </c>
      <c r="H83" s="33">
        <v>2</v>
      </c>
      <c r="I83" s="33">
        <v>-0.3</v>
      </c>
      <c r="J83" s="33">
        <v>2</v>
      </c>
      <c r="K83" s="34">
        <v>30</v>
      </c>
      <c r="L83" s="18">
        <v>0.28399999999999997</v>
      </c>
      <c r="M83" s="33">
        <v>1.4</v>
      </c>
      <c r="N83" s="18">
        <v>2.5999999999999999E-2</v>
      </c>
      <c r="O83" s="33">
        <v>50</v>
      </c>
      <c r="P83" s="33">
        <v>45</v>
      </c>
      <c r="Q83" s="33">
        <v>55</v>
      </c>
      <c r="R83" s="18">
        <v>0</v>
      </c>
      <c r="S83" s="18">
        <v>0</v>
      </c>
      <c r="T83" s="18">
        <v>0</v>
      </c>
      <c r="U83">
        <f t="shared" si="221"/>
        <v>72</v>
      </c>
      <c r="V83">
        <f t="shared" si="222"/>
        <v>88</v>
      </c>
      <c r="W83">
        <f t="shared" si="223"/>
        <v>88</v>
      </c>
      <c r="X83">
        <f t="shared" si="224"/>
        <v>72</v>
      </c>
      <c r="Y83">
        <f t="shared" si="225"/>
        <v>72</v>
      </c>
      <c r="Z83">
        <f t="shared" si="226"/>
        <v>100</v>
      </c>
      <c r="AA83">
        <f t="shared" si="227"/>
        <v>100</v>
      </c>
      <c r="AB83">
        <f t="shared" si="228"/>
        <v>85</v>
      </c>
      <c r="AC83">
        <f t="shared" si="229"/>
        <v>100</v>
      </c>
      <c r="AD83">
        <f t="shared" si="230"/>
        <v>100</v>
      </c>
      <c r="AE83">
        <f t="shared" si="231"/>
        <v>100</v>
      </c>
      <c r="AF83">
        <f t="shared" si="232"/>
        <v>100</v>
      </c>
      <c r="AG83">
        <f t="shared" si="233"/>
        <v>12</v>
      </c>
      <c r="AH83">
        <f t="shared" si="234"/>
        <v>12</v>
      </c>
      <c r="AI83">
        <f t="shared" si="235"/>
        <v>28</v>
      </c>
      <c r="AJ83">
        <f t="shared" si="236"/>
        <v>5</v>
      </c>
      <c r="AK83">
        <f t="shared" si="237"/>
        <v>0</v>
      </c>
      <c r="AL83">
        <f t="shared" si="238"/>
        <v>10</v>
      </c>
      <c r="AM83">
        <f t="shared" si="239"/>
        <v>82.4</v>
      </c>
      <c r="AN83">
        <f t="shared" si="240"/>
        <v>79</v>
      </c>
      <c r="AO83">
        <f t="shared" si="241"/>
        <v>95.5</v>
      </c>
      <c r="AP83">
        <f t="shared" si="242"/>
        <v>100</v>
      </c>
      <c r="AQ83">
        <f t="shared" si="243"/>
        <v>16.799999999999997</v>
      </c>
      <c r="AR83">
        <f t="shared" si="244"/>
        <v>5.75</v>
      </c>
      <c r="AS83">
        <f t="shared" si="245"/>
        <v>69</v>
      </c>
      <c r="AT83" s="12">
        <v>2</v>
      </c>
      <c r="AU83" s="12">
        <v>3</v>
      </c>
      <c r="AV83" s="12">
        <v>3</v>
      </c>
      <c r="AW83">
        <v>3</v>
      </c>
      <c r="AX83" s="38" t="e" vm="80">
        <v>#VALUE!</v>
      </c>
      <c r="AY83" s="59" cm="1">
        <f t="array" aca="1" ref="AY83" ca="1">_FV(AX83,"PRECIO")</f>
        <v>280.62</v>
      </c>
      <c r="AZ83" s="37">
        <v>330</v>
      </c>
      <c r="BB83" s="58">
        <f t="shared" ca="1" si="246"/>
        <v>0.17596750053453067</v>
      </c>
      <c r="BD83">
        <v>0.04</v>
      </c>
      <c r="BE83">
        <v>48</v>
      </c>
      <c r="BF83">
        <v>-0.05</v>
      </c>
      <c r="BG83">
        <f t="shared" si="247"/>
        <v>65</v>
      </c>
      <c r="BH83">
        <f t="shared" si="248"/>
        <v>70</v>
      </c>
      <c r="BI83">
        <f t="shared" si="249"/>
        <v>45</v>
      </c>
      <c r="BJ83">
        <f t="shared" si="250"/>
        <v>59.3</v>
      </c>
      <c r="BK83">
        <f t="shared" si="251"/>
        <v>50</v>
      </c>
      <c r="BL83" t="str">
        <f t="shared" si="252"/>
        <v>🟠 WEAK</v>
      </c>
      <c r="BM83" s="49" t="str">
        <f t="shared" si="253"/>
        <v>🟠 UNDERWEIGHT</v>
      </c>
    </row>
    <row r="84" spans="1:65" x14ac:dyDescent="0.4">
      <c r="A84" t="s">
        <v>427</v>
      </c>
      <c r="B84" t="s">
        <v>44</v>
      </c>
      <c r="C84" s="1">
        <v>-0.78</v>
      </c>
      <c r="D84" s="1">
        <v>0.46279999999999999</v>
      </c>
      <c r="E84" s="1">
        <v>0.29799999999999999</v>
      </c>
      <c r="F84" s="1">
        <v>0.13</v>
      </c>
      <c r="G84" s="1">
        <v>0.21</v>
      </c>
      <c r="H84" s="33">
        <v>2</v>
      </c>
      <c r="I84" s="33">
        <v>-2</v>
      </c>
      <c r="J84" s="33">
        <v>1.2</v>
      </c>
      <c r="K84" s="34">
        <v>15</v>
      </c>
      <c r="L84" s="18">
        <v>0.35</v>
      </c>
      <c r="M84" s="33">
        <v>1.17</v>
      </c>
      <c r="N84" s="18">
        <v>0.04</v>
      </c>
      <c r="O84" s="33">
        <v>55</v>
      </c>
      <c r="P84" s="33">
        <v>50</v>
      </c>
      <c r="Q84" s="33">
        <v>55</v>
      </c>
      <c r="R84" s="18">
        <v>0</v>
      </c>
      <c r="S84" s="18">
        <v>0</v>
      </c>
      <c r="T84" s="18">
        <v>0.05</v>
      </c>
      <c r="U84">
        <f t="shared" ref="U84:U100" si="254">IF(OR($B84="",C84=""),"",IF(ISERROR(MATCH($B84,GP_ROE_Sectors,0)),0,IF(C84&gt;=INDEX(GP_ROE_T,MATCH($B84,GP_ROE_Sectors,0),1),INDEX(GP_ROE_T,MATCH($B84,GP_ROE_Sectors,0),2),IF(C84&gt;=INDEX(GP_ROE_T,MATCH($B84,GP_ROE_Sectors,0),3),INDEX(GP_ROE_T,MATCH($B84,GP_ROE_Sectors,0),4),IF(C84&gt;=INDEX(GP_ROE_T,MATCH($B84,GP_ROE_Sectors,0),5),INDEX(GP_ROE_T,MATCH($B84,GP_ROE_Sectors,0),6),IF(C84&gt;=INDEX(GP_ROE_T,MATCH($B84,GP_ROE_Sectors,0),7),INDEX(GP_ROE_T,MATCH($B84,GP_ROE_Sectors,0),8),IF(C84&gt;=INDEX(GP_ROE_T,MATCH($B84,GP_ROE_Sectors,0),9),INDEX(GP_ROE_T,MATCH($B84,GP_ROE_Sectors,0),10),IF(C84&gt;=INDEX(GP_ROE_T,MATCH($B84,GP_ROE_Sectors,0),11),INDEX(GP_ROE_T,MATCH($B84,GP_ROE_Sectors,0),12),0))))))))</f>
        <v>0</v>
      </c>
      <c r="V84">
        <f t="shared" ref="V84:V100" si="255">IF(OR($B84="",D84=""),"",IF(ISERROR(MATCH($B84,GP_ROIC_Sectors,0)),0,IF(D84&gt;=INDEX(GP_ROIC_T,MATCH($B84,GP_ROIC_Sectors,0),1),INDEX(GP_ROIC_T,MATCH($B84,GP_ROIC_Sectors,0),2),IF(D84&gt;=INDEX(GP_ROIC_T,MATCH($B84,GP_ROIC_Sectors,0),3),INDEX(GP_ROIC_T,MATCH($B84,GP_ROIC_Sectors,0),4),IF(D84&gt;=INDEX(GP_ROIC_T,MATCH($B84,GP_ROIC_Sectors,0),5),INDEX(GP_ROIC_T,MATCH($B84,GP_ROIC_Sectors,0),6),IF(D84&gt;=INDEX(GP_ROIC_T,MATCH($B84,GP_ROIC_Sectors,0),7),INDEX(GP_ROIC_T,MATCH($B84,GP_ROIC_Sectors,0),8),IF(D84&gt;=INDEX(GP_ROIC_T,MATCH($B84,GP_ROIC_Sectors,0),9),INDEX(GP_ROIC_T,MATCH($B84,GP_ROIC_Sectors,0),10),IF(D84&gt;=INDEX(GP_ROIC_T,MATCH($B84,GP_ROIC_Sectors,0),11),INDEX(GP_ROIC_T,MATCH($B84,GP_ROIC_Sectors,0),12),0))))))))</f>
        <v>100</v>
      </c>
      <c r="W84">
        <f t="shared" ref="W84:W100" si="256">IF(OR($B84="",E84=""),"",IF(ISERROR(MATCH($B84,GP_NM_Sectors,0)),0,IF(E84&gt;=INDEX(GP_NM_T,MATCH($B84,GP_NM_Sectors,0),1),INDEX(GP_NM_T,MATCH($B84,GP_NM_Sectors,0),2),IF(E84&gt;=INDEX(GP_NM_T,MATCH($B84,GP_NM_Sectors,0),3),INDEX(GP_NM_T,MATCH($B84,GP_NM_Sectors,0),4),IF(E84&gt;=INDEX(GP_NM_T,MATCH($B84,GP_NM_Sectors,0),5),INDEX(GP_NM_T,MATCH($B84,GP_NM_Sectors,0),6),IF(E84&gt;=INDEX(GP_NM_T,MATCH($B84,GP_NM_Sectors,0),7),INDEX(GP_NM_T,MATCH($B84,GP_NM_Sectors,0),8),IF(E84&gt;=INDEX(GP_NM_T,MATCH($B84,GP_NM_Sectors,0),9),INDEX(GP_NM_T,MATCH($B84,GP_NM_Sectors,0),10),IF(E84&gt;=INDEX(GP_NM_T,MATCH($B84,GP_NM_Sectors,0),11),INDEX(GP_NM_T,MATCH($B84,GP_NM_Sectors,0),12),0))))))))</f>
        <v>100</v>
      </c>
      <c r="X84">
        <f t="shared" ref="X84:X100" si="257">IF(OR($B84="",F84=""),"",IF(ISERROR(MATCH($B84,GP_RG_Sectors,0)),0,IF(F84&gt;=INDEX(GP_RG_T,MATCH($B84,GP_RG_Sectors,0),1),INDEX(GP_RG_T,MATCH($B84,GP_RG_Sectors,0),2),IF(F84&gt;=INDEX(GP_RG_T,MATCH($B84,GP_RG_Sectors,0),3),INDEX(GP_RG_T,MATCH($B84,GP_RG_Sectors,0),4),IF(F84&gt;=INDEX(GP_RG_T,MATCH($B84,GP_RG_Sectors,0),5),INDEX(GP_RG_T,MATCH($B84,GP_RG_Sectors,0),6),IF(F84&gt;=INDEX(GP_RG_T,MATCH($B84,GP_RG_Sectors,0),7),INDEX(GP_RG_T,MATCH($B84,GP_RG_Sectors,0),8),IF(F84&gt;=INDEX(GP_RG_T,MATCH($B84,GP_RG_Sectors,0),9),INDEX(GP_RG_T,MATCH($B84,GP_RG_Sectors,0),10),IF(F84&gt;=INDEX(GP_RG_T,MATCH($B84,GP_RG_Sectors,0),11),INDEX(GP_RG_T,MATCH($B84,GP_RG_Sectors,0),12),0))))))))</f>
        <v>72</v>
      </c>
      <c r="Y84">
        <f t="shared" ref="Y84:Y100" si="258">IF(OR($B84="",G84=""),"",IF(ISERROR(MATCH($B84,GP_EG_Sectors,0)),0,IF(G84&gt;=INDEX(GP_EG_T,MATCH($B84,GP_EG_Sectors,0),1),INDEX(GP_EG_T,MATCH($B84,GP_EG_Sectors,0),2),IF(G84&gt;=INDEX(GP_EG_T,MATCH($B84,GP_EG_Sectors,0),3),INDEX(GP_EG_T,MATCH($B84,GP_EG_Sectors,0),4),IF(G84&gt;=INDEX(GP_EG_T,MATCH($B84,GP_EG_Sectors,0),5),INDEX(GP_EG_T,MATCH($B84,GP_EG_Sectors,0),6),IF(G84&gt;=INDEX(GP_EG_T,MATCH($B84,GP_EG_Sectors,0),7),INDEX(GP_EG_T,MATCH($B84,GP_EG_Sectors,0),8),IF(G84&gt;=INDEX(GP_EG_T,MATCH($B84,GP_EG_Sectors,0),9),INDEX(GP_EG_T,MATCH($B84,GP_EG_Sectors,0),10),IF(G84&gt;=INDEX(GP_EG_T,MATCH($B84,GP_EG_Sectors,0),11),INDEX(GP_EG_T,MATCH($B84,GP_EG_Sectors,0),12),0))))))))</f>
        <v>88</v>
      </c>
      <c r="Z84">
        <f t="shared" ref="Z84:Z100" si="259">IF(OR($B84="",H84=""),"",IF(ISERROR(MATCH($B84,GP_OL_Sectors,0)),0,IF(H84&gt;=INDEX(GP_OL_T,MATCH($B84,GP_OL_Sectors,0),1),INDEX(GP_OL_T,MATCH($B84,GP_OL_Sectors,0),2),IF(H84&gt;=INDEX(GP_OL_T,MATCH($B84,GP_OL_Sectors,0),3),INDEX(GP_OL_T,MATCH($B84,GP_OL_Sectors,0),4),IF(H84&gt;=INDEX(GP_OL_T,MATCH($B84,GP_OL_Sectors,0),5),INDEX(GP_OL_T,MATCH($B84,GP_OL_Sectors,0),6),IF(H84&gt;=INDEX(GP_OL_T,MATCH($B84,GP_OL_Sectors,0),7),INDEX(GP_OL_T,MATCH($B84,GP_OL_Sectors,0),8),IF(H84&gt;=INDEX(GP_OL_T,MATCH($B84,GP_OL_Sectors,0),9),INDEX(GP_OL_T,MATCH($B84,GP_OL_Sectors,0),10),IF(H84&gt;=INDEX(GP_OL_T,MATCH($B84,GP_OL_Sectors,0),11),INDEX(GP_OL_T,MATCH($B84,GP_OL_Sectors,0),12),0))))))))</f>
        <v>100</v>
      </c>
      <c r="AA84">
        <f t="shared" ref="AA84:AA100" si="260">IF(OR($B84="",I84=""),"",IF(ISERROR(MATCH($B84,GP_ND_Sectors,0)),0,IF(I84&lt;=INDEX(GP_ND_T,MATCH($B84,GP_ND_Sectors,0),1),INDEX(GP_ND_T,MATCH($B84,GP_ND_Sectors,0),2),IF(I84&lt;=INDEX(GP_ND_T,MATCH($B84,GP_ND_Sectors,0),3),INDEX(GP_ND_T,MATCH($B84,GP_ND_Sectors,0),4),IF(I84&lt;=INDEX(GP_ND_T,MATCH($B84,GP_ND_Sectors,0),5),INDEX(GP_ND_T,MATCH($B84,GP_ND_Sectors,0),6),IF(I84&lt;=INDEX(GP_ND_T,MATCH($B84,GP_ND_Sectors,0),7),INDEX(GP_ND_T,MATCH($B84,GP_ND_Sectors,0),8),IF(I84&lt;=INDEX(GP_ND_T,MATCH($B84,GP_ND_Sectors,0),9),INDEX(GP_ND_T,MATCH($B84,GP_ND_Sectors,0),10),IF(I84&lt;=INDEX(GP_ND_T,MATCH($B84,GP_ND_Sectors,0),11),INDEX(GP_ND_T,MATCH($B84,GP_ND_Sectors,0),12),0))))))))</f>
        <v>100</v>
      </c>
      <c r="AB84">
        <f t="shared" ref="AB84:AB100" si="261">IF(OR($B84="",J84=""),"",IF(ISERROR(MATCH($B84,GP_CR_Sectors,0)),0,IF(J84&gt;=INDEX(GP_CR_T,MATCH($B84,GP_CR_Sectors,0),1),INDEX(GP_CR_T,MATCH($B84,GP_CR_Sectors,0),2),IF(J84&gt;=INDEX(GP_CR_T,MATCH($B84,GP_CR_Sectors,0),3),INDEX(GP_CR_T,MATCH($B84,GP_CR_Sectors,0),4),IF(J84&gt;=INDEX(GP_CR_T,MATCH($B84,GP_CR_Sectors,0),5),INDEX(GP_CR_T,MATCH($B84,GP_CR_Sectors,0),6),IF(J84&gt;=INDEX(GP_CR_T,MATCH($B84,GP_CR_Sectors,0),7),INDEX(GP_CR_T,MATCH($B84,GP_CR_Sectors,0),8),IF(J84&gt;=INDEX(GP_CR_T,MATCH($B84,GP_CR_Sectors,0),9),INDEX(GP_CR_T,MATCH($B84,GP_CR_Sectors,0),10),IF(J84&gt;=INDEX(GP_CR_T,MATCH($B84,GP_CR_Sectors,0),11),INDEX(GP_CR_T,MATCH($B84,GP_CR_Sectors,0),12),0))))))))</f>
        <v>52</v>
      </c>
      <c r="AC84">
        <f t="shared" ref="AC84:AC100" si="262">IF(OR($B84="",K84=""),"",IF(ISERROR(MATCH($B84,GP_IC_Sectors,0)),0,IF(K84&gt;=INDEX(GP_IC_T,MATCH($B84,GP_IC_Sectors,0),1),INDEX(GP_IC_T,MATCH($B84,GP_IC_Sectors,0),2),IF(K84&gt;=INDEX(GP_IC_T,MATCH($B84,GP_IC_Sectors,0),3),INDEX(GP_IC_T,MATCH($B84,GP_IC_Sectors,0),4),IF(K84&gt;=INDEX(GP_IC_T,MATCH($B84,GP_IC_Sectors,0),5),INDEX(GP_IC_T,MATCH($B84,GP_IC_Sectors,0),6),IF(K84&gt;=INDEX(GP_IC_T,MATCH($B84,GP_IC_Sectors,0),7),INDEX(GP_IC_T,MATCH($B84,GP_IC_Sectors,0),8),IF(K84&gt;=INDEX(GP_IC_T,MATCH($B84,GP_IC_Sectors,0),9),INDEX(GP_IC_T,MATCH($B84,GP_IC_Sectors,0),10),IF(K84&gt;=INDEX(GP_IC_T,MATCH($B84,GP_IC_Sectors,0),11),INDEX(GP_IC_T,MATCH($B84,GP_IC_Sectors,0),12),0))))))))</f>
        <v>85</v>
      </c>
      <c r="AD84">
        <f t="shared" ref="AD84:AD100" si="263">IF(OR($B84="",L84=""),"",IF(ISERROR(MATCH($B84,GP_FM_Sectors,0)),0,IF(L84&gt;=INDEX(GP_FM_T,MATCH($B84,GP_FM_Sectors,0),1),INDEX(GP_FM_T,MATCH($B84,GP_FM_Sectors,0),2),IF(L84&gt;=INDEX(GP_FM_T,MATCH($B84,GP_FM_Sectors,0),3),INDEX(GP_FM_T,MATCH($B84,GP_FM_Sectors,0),4),IF(L84&gt;=INDEX(GP_FM_T,MATCH($B84,GP_FM_Sectors,0),5),INDEX(GP_FM_T,MATCH($B84,GP_FM_Sectors,0),6),IF(L84&gt;=INDEX(GP_FM_T,MATCH($B84,GP_FM_Sectors,0),7),INDEX(GP_FM_T,MATCH($B84,GP_FM_Sectors,0),8),IF(L84&gt;=INDEX(GP_FM_T,MATCH($B84,GP_FM_Sectors,0),9),INDEX(GP_FM_T,MATCH($B84,GP_FM_Sectors,0),10),IF(L84&gt;=INDEX(GP_FM_T,MATCH($B84,GP_FM_Sectors,0),11),INDEX(GP_FM_T,MATCH($B84,GP_FM_Sectors,0),12),0))))))))</f>
        <v>100</v>
      </c>
      <c r="AE84">
        <f t="shared" ref="AE84:AE100" si="264">IF(OR($B84="",M84=""),"",IF(ISERROR(MATCH($B84,GP_FN_Sectors,0)),0,IF(M84&gt;=INDEX(GP_FN_T,MATCH($B84,GP_FN_Sectors,0),1),INDEX(GP_FN_T,MATCH($B84,GP_FN_Sectors,0),2),IF(M84&gt;=INDEX(GP_FN_T,MATCH($B84,GP_FN_Sectors,0),3),INDEX(GP_FN_T,MATCH($B84,GP_FN_Sectors,0),4),IF(M84&gt;=INDEX(GP_FN_T,MATCH($B84,GP_FN_Sectors,0),5),INDEX(GP_FN_T,MATCH($B84,GP_FN_Sectors,0),6),IF(M84&gt;=INDEX(GP_FN_T,MATCH($B84,GP_FN_Sectors,0),7),INDEX(GP_FN_T,MATCH($B84,GP_FN_Sectors,0),8),IF(M84&gt;=INDEX(GP_FN_T,MATCH($B84,GP_FN_Sectors,0),9),INDEX(GP_FN_T,MATCH($B84,GP_FN_Sectors,0),10),IF(M84&gt;=INDEX(GP_FN_T,MATCH($B84,GP_FN_Sectors,0),11),INDEX(GP_FN_T,MATCH($B84,GP_FN_Sectors,0),12),0))))))))</f>
        <v>88</v>
      </c>
      <c r="AF84">
        <f t="shared" ref="AF84:AF100" si="265">IF(OR($B84="",N84=""),"",IF(ISERROR(MATCH($B84,GP_CX_Sectors,0)),0,IF(N84&lt;=INDEX(GP_CX_T,MATCH($B84,GP_CX_Sectors,0),1),INDEX(GP_CX_T,MATCH($B84,GP_CX_Sectors,0),2),IF(N84&lt;=INDEX(GP_CX_T,MATCH($B84,GP_CX_Sectors,0),3),INDEX(GP_CX_T,MATCH($B84,GP_CX_Sectors,0),4),IF(N84&lt;=INDEX(GP_CX_T,MATCH($B84,GP_CX_Sectors,0),5),INDEX(GP_CX_T,MATCH($B84,GP_CX_Sectors,0),6),IF(N84&lt;=INDEX(GP_CX_T,MATCH($B84,GP_CX_Sectors,0),7),INDEX(GP_CX_T,MATCH($B84,GP_CX_Sectors,0),8),IF(N84&lt;=INDEX(GP_CX_T,MATCH($B84,GP_CX_Sectors,0),9),INDEX(GP_CX_T,MATCH($B84,GP_CX_Sectors,0),10),IF(N84&lt;=INDEX(GP_CX_T,MATCH($B84,GP_CX_Sectors,0),11),INDEX(GP_CX_T,MATCH($B84,GP_CX_Sectors,0),12),0))))))))</f>
        <v>85</v>
      </c>
      <c r="AG84">
        <f t="shared" ref="AG84:AG100" si="266">IF(OR($B84="",O84=""),"",IF(ISERROR(MATCH($B84,GP_PE_Sectors,0)),0,IF(O84&lt;=INDEX(GP_PE_T,MATCH($B84,GP_PE_Sectors,0),1),INDEX(GP_PE_T,MATCH($B84,GP_PE_Sectors,0),2),IF(O84&lt;=INDEX(GP_PE_T,MATCH($B84,GP_PE_Sectors,0),3),INDEX(GP_PE_T,MATCH($B84,GP_PE_Sectors,0),4),IF(O84&lt;=INDEX(GP_PE_T,MATCH($B84,GP_PE_Sectors,0),5),INDEX(GP_PE_T,MATCH($B84,GP_PE_Sectors,0),6),IF(O84&lt;=INDEX(GP_PE_T,MATCH($B84,GP_PE_Sectors,0),7),INDEX(GP_PE_T,MATCH($B84,GP_PE_Sectors,0),8),IF(O84&lt;=INDEX(GP_PE_T,MATCH($B84,GP_PE_Sectors,0),9),INDEX(GP_PE_T,MATCH($B84,GP_PE_Sectors,0),10),IF(O84&lt;=INDEX(GP_PE_T,MATCH($B84,GP_PE_Sectors,0),11),INDEX(GP_PE_T,MATCH($B84,GP_PE_Sectors,0),12),0))))))))</f>
        <v>12</v>
      </c>
      <c r="AH84">
        <f t="shared" ref="AH84:AH100" si="267">IF(OR($B84="",P84=""),"",IF(ISERROR(MATCH($B84,GP_EV_Sectors,0)),0,IF(P84&lt;=INDEX(GP_EV_T,MATCH($B84,GP_EV_Sectors,0),1),INDEX(GP_EV_T,MATCH($B84,GP_EV_Sectors,0),2),IF(P84&lt;=INDEX(GP_EV_T,MATCH($B84,GP_EV_Sectors,0),3),INDEX(GP_EV_T,MATCH($B84,GP_EV_Sectors,0),4),IF(P84&lt;=INDEX(GP_EV_T,MATCH($B84,GP_EV_Sectors,0),5),INDEX(GP_EV_T,MATCH($B84,GP_EV_Sectors,0),6),IF(P84&lt;=INDEX(GP_EV_T,MATCH($B84,GP_EV_Sectors,0),7),INDEX(GP_EV_T,MATCH($B84,GP_EV_Sectors,0),8),IF(P84&lt;=INDEX(GP_EV_T,MATCH($B84,GP_EV_Sectors,0),9),INDEX(GP_EV_T,MATCH($B84,GP_EV_Sectors,0),10),IF(P84&lt;=INDEX(GP_EV_T,MATCH($B84,GP_EV_Sectors,0),11),INDEX(GP_EV_T,MATCH($B84,GP_EV_Sectors,0),12),0))))))))</f>
        <v>12</v>
      </c>
      <c r="AI84">
        <f t="shared" ref="AI84:AI100" si="268">IF(OR($B84="",Q84=""),"",IF(ISERROR(MATCH($B84,GP_PF_Sectors,0)),0,IF(Q84&lt;=INDEX(GP_PF_T,MATCH($B84,GP_PF_Sectors,0),1),INDEX(GP_PF_T,MATCH($B84,GP_PF_Sectors,0),2),IF(Q84&lt;=INDEX(GP_PF_T,MATCH($B84,GP_PF_Sectors,0),3),INDEX(GP_PF_T,MATCH($B84,GP_PF_Sectors,0),4),IF(Q84&lt;=INDEX(GP_PF_T,MATCH($B84,GP_PF_Sectors,0),5),INDEX(GP_PF_T,MATCH($B84,GP_PF_Sectors,0),6),IF(Q84&lt;=INDEX(GP_PF_T,MATCH($B84,GP_PF_Sectors,0),7),INDEX(GP_PF_T,MATCH($B84,GP_PF_Sectors,0),8),IF(Q84&lt;=INDEX(GP_PF_T,MATCH($B84,GP_PF_Sectors,0),9),INDEX(GP_PF_T,MATCH($B84,GP_PF_Sectors,0),10),IF(Q84&lt;=INDEX(GP_PF_T,MATCH($B84,GP_PF_Sectors,0),11),INDEX(GP_PF_T,MATCH($B84,GP_PF_Sectors,0),12),0))))))))</f>
        <v>28</v>
      </c>
      <c r="AJ84">
        <f t="shared" ref="AJ84:AJ100" si="269">IF(OR($B84="",R84=""),"",IF(ISERROR(MATCH($B84,GP_DY_Sectors,0)),0,IF(R84&gt;=INDEX(GP_DY_T,MATCH($B84,GP_DY_Sectors,0),1),INDEX(GP_DY_T,MATCH($B84,GP_DY_Sectors,0),2),IF(R84&gt;=INDEX(GP_DY_T,MATCH($B84,GP_DY_Sectors,0),3),INDEX(GP_DY_T,MATCH($B84,GP_DY_Sectors,0),4),IF(R84&gt;=INDEX(GP_DY_T,MATCH($B84,GP_DY_Sectors,0),5),INDEX(GP_DY_T,MATCH($B84,GP_DY_Sectors,0),6),IF(R84&gt;=INDEX(GP_DY_T,MATCH($B84,GP_DY_Sectors,0),7),INDEX(GP_DY_T,MATCH($B84,GP_DY_Sectors,0),8),IF(R84&gt;=INDEX(GP_DY_T,MATCH($B84,GP_DY_Sectors,0),9),INDEX(GP_DY_T,MATCH($B84,GP_DY_Sectors,0),10),IF(R84&gt;=INDEX(GP_DY_T,MATCH($B84,GP_DY_Sectors,0),11),INDEX(GP_DY_T,MATCH($B84,GP_DY_Sectors,0),12),0))))))))</f>
        <v>5</v>
      </c>
      <c r="AK84">
        <f t="shared" ref="AK84:AK100" si="270">IF(OR($B84="",S84=""),"",IF(ISERROR(MATCH($B84,GP_PR_Sectors,0)),0,IF(S84&gt;=INDEX(GP_PR_T,MATCH($B84,GP_PR_Sectors,0),1),INDEX(GP_PR_T,MATCH($B84,GP_PR_Sectors,0),2),IF(S84&gt;=INDEX(GP_PR_T,MATCH($B84,GP_PR_Sectors,0),3),INDEX(GP_PR_T,MATCH($B84,GP_PR_Sectors,0),4),IF(S84&gt;=INDEX(GP_PR_T,MATCH($B84,GP_PR_Sectors,0),5),INDEX(GP_PR_T,MATCH($B84,GP_PR_Sectors,0),6),IF(S84&gt;=INDEX(GP_PR_T,MATCH($B84,GP_PR_Sectors,0),7),INDEX(GP_PR_T,MATCH($B84,GP_PR_Sectors,0),8),IF(S84&gt;=INDEX(GP_PR_T,MATCH($B84,GP_PR_Sectors,0),9),INDEX(GP_PR_T,MATCH($B84,GP_PR_Sectors,0),10),IF(S84&gt;=INDEX(GP_PR_T,MATCH($B84,GP_PR_Sectors,0),11),INDEX(GP_PR_T,MATCH($B84,GP_PR_Sectors,0),12),0))))))))</f>
        <v>0</v>
      </c>
      <c r="AL84">
        <f t="shared" ref="AL84:AL100" si="271">IF(OR($B84="",T84=""),"",IF(ISERROR(MATCH($B84,GP_BY_Sectors,0)),0,IF(T84&gt;=INDEX(GP_BY_T,MATCH($B84,GP_BY_Sectors,0),1),INDEX(GP_BY_T,MATCH($B84,GP_BY_Sectors,0),2),IF(T84&gt;=INDEX(GP_BY_T,MATCH($B84,GP_BY_Sectors,0),3),INDEX(GP_BY_T,MATCH($B84,GP_BY_Sectors,0),4),IF(T84&gt;=INDEX(GP_BY_T,MATCH($B84,GP_BY_Sectors,0),5),INDEX(GP_BY_T,MATCH($B84,GP_BY_Sectors,0),6),IF(T84&gt;=INDEX(GP_BY_T,MATCH($B84,GP_BY_Sectors,0),7),INDEX(GP_BY_T,MATCH($B84,GP_BY_Sectors,0),8),IF(T84&gt;=INDEX(GP_BY_T,MATCH($B84,GP_BY_Sectors,0),9),INDEX(GP_BY_T,MATCH($B84,GP_BY_Sectors,0),10),IF(T84&gt;=INDEX(GP_BY_T,MATCH($B84,GP_BY_Sectors,0),11),INDEX(GP_BY_T,MATCH($B84,GP_BY_Sectors,0),12),0))))))))</f>
        <v>100</v>
      </c>
      <c r="AM84">
        <f t="shared" ref="AM84:AM100" si="272">IF($B84="","",U84*0.35+V84*0.35+W84*0.3)</f>
        <v>65</v>
      </c>
      <c r="AN84">
        <f t="shared" ref="AN84:AN100" si="273">IF($B84="","",X84*0.4+Y84*0.35+Z84*0.25)</f>
        <v>84.6</v>
      </c>
      <c r="AO84">
        <f t="shared" ref="AO84:AO100" si="274">IF($B84="","",AA84*0.35+AB84*0.3+AC84*0.35)</f>
        <v>80.349999999999994</v>
      </c>
      <c r="AP84">
        <f t="shared" ref="AP84:AP100" si="275">IF($B84="","",AD84*0.4+AE84*0.35+AF84*0.25)</f>
        <v>92.05</v>
      </c>
      <c r="AQ84">
        <f t="shared" ref="AQ84:AQ100" si="276">IF($B84="","",AG84*0.35+AH84*0.35+AI84*0.3)</f>
        <v>16.799999999999997</v>
      </c>
      <c r="AR84">
        <f t="shared" ref="AR84:AR100" si="277">IF($B84="","",AJ84*0.45+AK84*0.2+AL84*0.35)</f>
        <v>37.25</v>
      </c>
      <c r="AS84">
        <f t="shared" ref="AS84:AS100" si="278">IF($B84="","",MIN(100,MAX(0,ROUND(AM84*INDEX(GP_W_P1,MATCH($B84,GP_Weights_Sectors,0))+AN84*INDEX(GP_W_P2,MATCH($B84,GP_Weights_Sectors,0))+AO84*INDEX(GP_W_P3,MATCH($B84,GP_Weights_Sectors,0))+AP84*INDEX(GP_W_P4,MATCH($B84,GP_Weights_Sectors,0))+AQ84*INDEX(GP_W_P5,MATCH($B84,GP_Weights_Sectors,0))+AR84*INDEX(GP_W_P6,MATCH($B84,GP_Weights_Sectors,0)),0))))</f>
        <v>65</v>
      </c>
      <c r="AT84" s="12">
        <v>2</v>
      </c>
      <c r="AU84" s="12">
        <v>3</v>
      </c>
      <c r="AV84" s="12">
        <v>3</v>
      </c>
      <c r="AW84">
        <v>3</v>
      </c>
      <c r="AX84" t="e" vm="81">
        <v>#VALUE!</v>
      </c>
      <c r="AY84" s="59" cm="1">
        <f t="array" aca="1" ref="AY84" ca="1">_FV(AX84,"PRECIO")</f>
        <v>1039.8399999999999</v>
      </c>
      <c r="AZ84" s="37">
        <v>2020</v>
      </c>
      <c r="BB84" s="58">
        <f t="shared" ca="1" si="246"/>
        <v>0.94260655485459321</v>
      </c>
      <c r="BD84">
        <v>0.02</v>
      </c>
      <c r="BE84">
        <v>50</v>
      </c>
      <c r="BF84">
        <v>-0.05</v>
      </c>
      <c r="BG84">
        <f t="shared" ref="BG84:BG100" si="279">IF(BD84&gt;0.1,100,IF(BD84&gt;0.05,80,IF(BD84&gt;0,65,IF(BD84&gt;-0.05,45,IF(BD84&gt;-0.1,25,10)))))</f>
        <v>65</v>
      </c>
      <c r="BH84">
        <f t="shared" ref="BH84:BH100" si="280">IF(AND(BE84&gt;=40,BE84&lt;=60),70,IF(AND(BE84&gt;60,BE84&lt;=70),85,IF(BE84&gt;70,50,IF(AND(BE84&gt;=30,BE84&lt;40),55,40))))</f>
        <v>70</v>
      </c>
      <c r="BI84">
        <f t="shared" ref="BI84:BI100" si="281">IF(BF84&gt;0.2,100,IF(BF84&gt;0.1,80,IF(BF84&gt;0,65,IF(BF84&gt;-0.1,45,IF(BF84&gt;-0.2,25,10)))))</f>
        <v>45</v>
      </c>
      <c r="BJ84">
        <f t="shared" ref="BJ84:BJ100" si="282">ROUND(BG84*0.4+BH84*0.25+BI84*0.35,1)</f>
        <v>59.3</v>
      </c>
      <c r="BK84">
        <f t="shared" ref="BK84:BK100" si="283">IF(OR(AS84="",AQ84="",BJ84=""),"",ROUND(AS84*0.4+MAX(15,MIN(90,AQ84))*0.2+BJ84*0.25+MIN(100,MAX(0,AW84*10))*0.15,0))</f>
        <v>49</v>
      </c>
      <c r="BL84" t="str">
        <f t="shared" ref="BL84:BL100" si="284">IF(BK84="","",IF(BK84&gt;=85,"🟢 STRONG",IF(BK84&gt;=70,"🟡 FAVORABLE",IF(BK84&gt;=55,"⚪ NEUTRAL",IF(BK84&gt;=40,"🟠 WEAK","🔴 AVOID")))))</f>
        <v>🟠 WEAK</v>
      </c>
      <c r="BM84" s="49" t="str">
        <f t="shared" ref="BM84:BM100" si="285">IF(BK84="","",IF(AND(BK84&gt;=75,BJ84&gt;=70,AW84&gt;=6),"🚀 STRONG BUY",IF(AND(BK84&gt;=65,BJ84&gt;=55),"✅ BUY",IF(BK84&gt;=55,"⚠️ HOLD",IF(OR(BK84&lt;45,AND(BJ84&lt;35,AW84&lt;3)),"🔴 SELL","🟠 UNDERWEIGHT")))))</f>
        <v>🟠 UNDERWEIGHT</v>
      </c>
    </row>
    <row r="85" spans="1:65" x14ac:dyDescent="0.4">
      <c r="A85" t="s">
        <v>428</v>
      </c>
      <c r="B85" t="s">
        <v>46</v>
      </c>
      <c r="C85" s="1">
        <v>0.23</v>
      </c>
      <c r="D85" s="1">
        <v>0.2</v>
      </c>
      <c r="E85" s="1">
        <v>0.4</v>
      </c>
      <c r="F85" s="1">
        <v>0.23</v>
      </c>
      <c r="G85" s="1">
        <v>0.4</v>
      </c>
      <c r="H85" s="33">
        <v>2</v>
      </c>
      <c r="I85" s="33">
        <v>-3</v>
      </c>
      <c r="J85" s="33">
        <v>1.5</v>
      </c>
      <c r="K85" s="34">
        <v>100</v>
      </c>
      <c r="L85" s="18">
        <v>0.42</v>
      </c>
      <c r="M85" s="33">
        <v>1.05</v>
      </c>
      <c r="N85" s="18">
        <v>0.05</v>
      </c>
      <c r="O85" s="33">
        <v>55</v>
      </c>
      <c r="P85" s="33">
        <v>45</v>
      </c>
      <c r="Q85" s="33">
        <v>50</v>
      </c>
      <c r="R85" s="18">
        <v>0</v>
      </c>
      <c r="S85" s="18">
        <v>0</v>
      </c>
      <c r="T85" s="18">
        <v>0</v>
      </c>
      <c r="U85">
        <f t="shared" si="254"/>
        <v>100</v>
      </c>
      <c r="V85">
        <f t="shared" si="255"/>
        <v>100</v>
      </c>
      <c r="W85">
        <f t="shared" si="256"/>
        <v>100</v>
      </c>
      <c r="X85">
        <f t="shared" si="257"/>
        <v>100</v>
      </c>
      <c r="Y85">
        <f t="shared" si="258"/>
        <v>100</v>
      </c>
      <c r="Z85">
        <f t="shared" si="259"/>
        <v>100</v>
      </c>
      <c r="AA85">
        <f t="shared" si="260"/>
        <v>100</v>
      </c>
      <c r="AB85">
        <f t="shared" si="261"/>
        <v>100</v>
      </c>
      <c r="AC85">
        <f t="shared" si="262"/>
        <v>100</v>
      </c>
      <c r="AD85">
        <f t="shared" si="263"/>
        <v>100</v>
      </c>
      <c r="AE85">
        <f t="shared" si="264"/>
        <v>85</v>
      </c>
      <c r="AF85">
        <f t="shared" si="265"/>
        <v>70</v>
      </c>
      <c r="AG85">
        <f t="shared" si="266"/>
        <v>0</v>
      </c>
      <c r="AH85">
        <f t="shared" si="267"/>
        <v>0</v>
      </c>
      <c r="AI85">
        <f t="shared" si="268"/>
        <v>10</v>
      </c>
      <c r="AJ85">
        <f t="shared" si="269"/>
        <v>8</v>
      </c>
      <c r="AK85">
        <f t="shared" si="270"/>
        <v>0</v>
      </c>
      <c r="AL85">
        <f t="shared" si="271"/>
        <v>10</v>
      </c>
      <c r="AM85">
        <f t="shared" si="272"/>
        <v>100</v>
      </c>
      <c r="AN85">
        <f t="shared" si="273"/>
        <v>100</v>
      </c>
      <c r="AO85">
        <f t="shared" si="274"/>
        <v>100</v>
      </c>
      <c r="AP85">
        <f t="shared" si="275"/>
        <v>87.25</v>
      </c>
      <c r="AQ85">
        <f t="shared" si="276"/>
        <v>3</v>
      </c>
      <c r="AR85">
        <f t="shared" si="277"/>
        <v>7.1</v>
      </c>
      <c r="AS85">
        <f t="shared" si="278"/>
        <v>75</v>
      </c>
      <c r="AT85" s="12">
        <v>2</v>
      </c>
      <c r="AU85" s="12">
        <v>3</v>
      </c>
      <c r="AV85" s="12">
        <v>3</v>
      </c>
      <c r="AW85">
        <v>3</v>
      </c>
      <c r="AX85" t="e" vm="82">
        <v>#VALUE!</v>
      </c>
      <c r="AY85" s="59" cm="1">
        <f t="array" aca="1" ref="AY85" ca="1">_FV(AX85,"PRECIO")</f>
        <v>876.2</v>
      </c>
      <c r="AZ85" s="37">
        <v>1620</v>
      </c>
      <c r="BB85" s="58">
        <f t="shared" ca="1" si="246"/>
        <v>0.84889294681579541</v>
      </c>
      <c r="BD85">
        <v>0.05</v>
      </c>
      <c r="BE85">
        <v>55</v>
      </c>
      <c r="BF85">
        <v>0.05</v>
      </c>
      <c r="BG85">
        <f t="shared" si="279"/>
        <v>65</v>
      </c>
      <c r="BH85">
        <f t="shared" si="280"/>
        <v>70</v>
      </c>
      <c r="BI85">
        <f t="shared" si="281"/>
        <v>65</v>
      </c>
      <c r="BJ85">
        <f t="shared" si="282"/>
        <v>66.3</v>
      </c>
      <c r="BK85">
        <f t="shared" si="283"/>
        <v>54</v>
      </c>
      <c r="BL85" t="str">
        <f t="shared" si="284"/>
        <v>🟠 WEAK</v>
      </c>
      <c r="BM85" s="49" t="str">
        <f t="shared" si="285"/>
        <v>🟠 UNDERWEIGHT</v>
      </c>
    </row>
    <row r="86" spans="1:65" x14ac:dyDescent="0.4">
      <c r="A86" t="s">
        <v>429</v>
      </c>
      <c r="B86" t="s">
        <v>46</v>
      </c>
      <c r="C86" s="1">
        <v>-5</v>
      </c>
      <c r="D86" s="1">
        <v>0.45</v>
      </c>
      <c r="E86" s="1">
        <v>0.41</v>
      </c>
      <c r="F86" s="1">
        <v>0.12</v>
      </c>
      <c r="G86" s="1">
        <v>0.15</v>
      </c>
      <c r="H86" s="33">
        <v>2</v>
      </c>
      <c r="I86" s="33">
        <v>2.34</v>
      </c>
      <c r="J86" s="33">
        <v>1.1000000000000001</v>
      </c>
      <c r="K86" s="34">
        <v>10</v>
      </c>
      <c r="L86" s="18">
        <v>0.42</v>
      </c>
      <c r="M86" s="33">
        <v>1.02</v>
      </c>
      <c r="N86" s="18">
        <v>0.05</v>
      </c>
      <c r="O86" s="33">
        <v>35</v>
      </c>
      <c r="P86" s="33">
        <v>35</v>
      </c>
      <c r="Q86" s="33">
        <v>38</v>
      </c>
      <c r="R86" s="18">
        <v>1.0999999999999999E-2</v>
      </c>
      <c r="S86" s="18">
        <v>0.4</v>
      </c>
      <c r="T86" s="18">
        <v>0.03</v>
      </c>
      <c r="U86">
        <f t="shared" si="254"/>
        <v>0</v>
      </c>
      <c r="V86">
        <f t="shared" si="255"/>
        <v>100</v>
      </c>
      <c r="W86">
        <f t="shared" si="256"/>
        <v>100</v>
      </c>
      <c r="X86">
        <f t="shared" si="257"/>
        <v>100</v>
      </c>
      <c r="Y86">
        <f t="shared" si="258"/>
        <v>100</v>
      </c>
      <c r="Z86">
        <f t="shared" si="259"/>
        <v>100</v>
      </c>
      <c r="AA86">
        <f t="shared" si="260"/>
        <v>70</v>
      </c>
      <c r="AB86">
        <f t="shared" si="261"/>
        <v>70</v>
      </c>
      <c r="AC86">
        <f t="shared" si="262"/>
        <v>100</v>
      </c>
      <c r="AD86">
        <f t="shared" si="263"/>
        <v>100</v>
      </c>
      <c r="AE86">
        <f t="shared" si="264"/>
        <v>85</v>
      </c>
      <c r="AF86">
        <f t="shared" si="265"/>
        <v>70</v>
      </c>
      <c r="AG86">
        <f t="shared" si="266"/>
        <v>12</v>
      </c>
      <c r="AH86">
        <f t="shared" si="267"/>
        <v>0</v>
      </c>
      <c r="AI86">
        <f t="shared" si="268"/>
        <v>30</v>
      </c>
      <c r="AJ86">
        <f t="shared" si="269"/>
        <v>50</v>
      </c>
      <c r="AK86">
        <f t="shared" si="270"/>
        <v>85</v>
      </c>
      <c r="AL86">
        <f t="shared" si="271"/>
        <v>70</v>
      </c>
      <c r="AM86">
        <f t="shared" si="272"/>
        <v>65</v>
      </c>
      <c r="AN86">
        <f t="shared" si="273"/>
        <v>100</v>
      </c>
      <c r="AO86">
        <f t="shared" si="274"/>
        <v>80.5</v>
      </c>
      <c r="AP86">
        <f t="shared" si="275"/>
        <v>87.25</v>
      </c>
      <c r="AQ86">
        <f t="shared" si="276"/>
        <v>13.2</v>
      </c>
      <c r="AR86">
        <f t="shared" si="277"/>
        <v>64</v>
      </c>
      <c r="AS86">
        <f t="shared" si="278"/>
        <v>68</v>
      </c>
      <c r="AT86" s="12">
        <v>2</v>
      </c>
      <c r="AU86" s="12">
        <v>3</v>
      </c>
      <c r="AV86" s="12">
        <v>3</v>
      </c>
      <c r="AW86">
        <v>3</v>
      </c>
      <c r="AX86" t="e" vm="83">
        <v>#VALUE!</v>
      </c>
      <c r="AY86" s="59" cm="1">
        <f t="array" aca="1" ref="AY86" ca="1">_FV(AX86,"PRECIO")</f>
        <v>534.67999999999995</v>
      </c>
      <c r="AZ86" s="37">
        <v>680</v>
      </c>
      <c r="BB86" s="58">
        <f t="shared" ca="1" si="246"/>
        <v>0.27178873344804383</v>
      </c>
      <c r="BD86">
        <v>-0.03</v>
      </c>
      <c r="BE86">
        <v>48</v>
      </c>
      <c r="BF86">
        <v>-0.08</v>
      </c>
      <c r="BG86">
        <f t="shared" si="279"/>
        <v>45</v>
      </c>
      <c r="BH86">
        <f t="shared" si="280"/>
        <v>70</v>
      </c>
      <c r="BI86">
        <f t="shared" si="281"/>
        <v>45</v>
      </c>
      <c r="BJ86">
        <f t="shared" si="282"/>
        <v>51.3</v>
      </c>
      <c r="BK86">
        <f t="shared" si="283"/>
        <v>48</v>
      </c>
      <c r="BL86" t="str">
        <f t="shared" si="284"/>
        <v>🟠 WEAK</v>
      </c>
      <c r="BM86" s="49" t="str">
        <f t="shared" si="285"/>
        <v>🟠 UNDERWEIGHT</v>
      </c>
    </row>
    <row r="87" spans="1:65" x14ac:dyDescent="0.4">
      <c r="A87" t="s">
        <v>430</v>
      </c>
      <c r="B87" t="s">
        <v>48</v>
      </c>
      <c r="C87" s="1">
        <v>1.45</v>
      </c>
      <c r="D87" s="1">
        <v>0.5</v>
      </c>
      <c r="E87" s="1">
        <v>0.33600000000000002</v>
      </c>
      <c r="F87" s="1">
        <v>0.43</v>
      </c>
      <c r="G87" s="1">
        <v>3.62</v>
      </c>
      <c r="H87" s="33">
        <v>3</v>
      </c>
      <c r="I87" s="33">
        <v>1.5</v>
      </c>
      <c r="J87" s="33">
        <v>2</v>
      </c>
      <c r="K87" s="34">
        <v>6</v>
      </c>
      <c r="L87" s="18">
        <v>0.44500000000000001</v>
      </c>
      <c r="M87" s="33">
        <v>1.33</v>
      </c>
      <c r="N87" s="18">
        <v>1E-3</v>
      </c>
      <c r="O87" s="33">
        <v>40</v>
      </c>
      <c r="P87" s="33">
        <v>35</v>
      </c>
      <c r="Q87" s="33">
        <v>45</v>
      </c>
      <c r="R87" s="18">
        <v>0</v>
      </c>
      <c r="S87" s="18">
        <v>0</v>
      </c>
      <c r="T87" s="18">
        <v>0.04</v>
      </c>
      <c r="U87">
        <f t="shared" si="254"/>
        <v>100</v>
      </c>
      <c r="V87">
        <f t="shared" si="255"/>
        <v>100</v>
      </c>
      <c r="W87">
        <f t="shared" si="256"/>
        <v>100</v>
      </c>
      <c r="X87">
        <f t="shared" si="257"/>
        <v>100</v>
      </c>
      <c r="Y87">
        <f t="shared" si="258"/>
        <v>100</v>
      </c>
      <c r="Z87">
        <f t="shared" si="259"/>
        <v>100</v>
      </c>
      <c r="AA87">
        <f t="shared" si="260"/>
        <v>70</v>
      </c>
      <c r="AB87">
        <f t="shared" si="261"/>
        <v>100</v>
      </c>
      <c r="AC87">
        <f t="shared" si="262"/>
        <v>85</v>
      </c>
      <c r="AD87">
        <f t="shared" si="263"/>
        <v>100</v>
      </c>
      <c r="AE87">
        <f t="shared" si="264"/>
        <v>100</v>
      </c>
      <c r="AF87">
        <f t="shared" si="265"/>
        <v>100</v>
      </c>
      <c r="AG87">
        <f t="shared" si="266"/>
        <v>12</v>
      </c>
      <c r="AH87">
        <f t="shared" si="267"/>
        <v>10</v>
      </c>
      <c r="AI87">
        <f t="shared" si="268"/>
        <v>28</v>
      </c>
      <c r="AJ87">
        <f t="shared" si="269"/>
        <v>5</v>
      </c>
      <c r="AK87">
        <f t="shared" si="270"/>
        <v>0</v>
      </c>
      <c r="AL87">
        <f t="shared" si="271"/>
        <v>100</v>
      </c>
      <c r="AM87">
        <f t="shared" si="272"/>
        <v>100</v>
      </c>
      <c r="AN87">
        <f t="shared" si="273"/>
        <v>100</v>
      </c>
      <c r="AO87">
        <f t="shared" si="274"/>
        <v>84.25</v>
      </c>
      <c r="AP87">
        <f t="shared" si="275"/>
        <v>100</v>
      </c>
      <c r="AQ87">
        <f t="shared" si="276"/>
        <v>16.100000000000001</v>
      </c>
      <c r="AR87">
        <f t="shared" si="277"/>
        <v>37.25</v>
      </c>
      <c r="AS87">
        <f t="shared" si="278"/>
        <v>79</v>
      </c>
      <c r="AT87" s="12">
        <v>2</v>
      </c>
      <c r="AU87" s="12">
        <v>3</v>
      </c>
      <c r="AV87" s="12">
        <v>3</v>
      </c>
      <c r="AW87">
        <v>3</v>
      </c>
      <c r="AX87" t="e" vm="84">
        <v>#VALUE!</v>
      </c>
      <c r="AY87" s="59" cm="1">
        <f t="array" aca="1" ref="AY87" ca="1">_FV(AX87,"PRECIO")</f>
        <v>391.21</v>
      </c>
      <c r="AZ87" s="37">
        <v>500</v>
      </c>
      <c r="BB87" s="58">
        <f t="shared" ca="1" si="246"/>
        <v>0.27808593849850471</v>
      </c>
      <c r="BD87">
        <v>-0.15</v>
      </c>
      <c r="BE87">
        <v>42</v>
      </c>
      <c r="BF87">
        <v>-0.2</v>
      </c>
      <c r="BG87">
        <f t="shared" si="279"/>
        <v>10</v>
      </c>
      <c r="BH87">
        <f t="shared" si="280"/>
        <v>70</v>
      </c>
      <c r="BI87">
        <f t="shared" si="281"/>
        <v>10</v>
      </c>
      <c r="BJ87">
        <f t="shared" si="282"/>
        <v>25</v>
      </c>
      <c r="BK87">
        <f t="shared" si="283"/>
        <v>46</v>
      </c>
      <c r="BL87" t="str">
        <f t="shared" si="284"/>
        <v>🟠 WEAK</v>
      </c>
      <c r="BM87" s="49" t="str">
        <f t="shared" si="285"/>
        <v>🟠 UNDERWEIGHT</v>
      </c>
    </row>
    <row r="88" spans="1:65" x14ac:dyDescent="0.4">
      <c r="A88" t="s">
        <v>431</v>
      </c>
      <c r="B88" t="s">
        <v>44</v>
      </c>
      <c r="C88" s="1">
        <v>0.35</v>
      </c>
      <c r="D88" s="1">
        <v>0.15</v>
      </c>
      <c r="E88" s="1">
        <v>0.161</v>
      </c>
      <c r="F88" s="1">
        <v>0.05</v>
      </c>
      <c r="G88" s="1">
        <v>0.5</v>
      </c>
      <c r="H88" s="33">
        <v>3</v>
      </c>
      <c r="I88" s="33">
        <v>1.5</v>
      </c>
      <c r="J88" s="33">
        <v>1.2</v>
      </c>
      <c r="K88" s="34">
        <v>5</v>
      </c>
      <c r="L88" s="18">
        <v>0.09</v>
      </c>
      <c r="M88" s="33">
        <v>2.4</v>
      </c>
      <c r="N88" s="18">
        <v>0.04</v>
      </c>
      <c r="O88" s="33">
        <v>12</v>
      </c>
      <c r="P88" s="33">
        <v>10</v>
      </c>
      <c r="Q88" s="33">
        <v>15</v>
      </c>
      <c r="R88" s="18">
        <v>2.8000000000000001E-2</v>
      </c>
      <c r="S88" s="18">
        <v>0.4</v>
      </c>
      <c r="T88" s="18">
        <v>0</v>
      </c>
      <c r="U88">
        <f t="shared" si="254"/>
        <v>100</v>
      </c>
      <c r="V88">
        <f t="shared" si="255"/>
        <v>72</v>
      </c>
      <c r="W88">
        <f t="shared" si="256"/>
        <v>72</v>
      </c>
      <c r="X88">
        <f t="shared" si="257"/>
        <v>35</v>
      </c>
      <c r="Y88">
        <f t="shared" si="258"/>
        <v>100</v>
      </c>
      <c r="Z88">
        <f t="shared" si="259"/>
        <v>100</v>
      </c>
      <c r="AA88">
        <f t="shared" si="260"/>
        <v>55</v>
      </c>
      <c r="AB88">
        <f t="shared" si="261"/>
        <v>52</v>
      </c>
      <c r="AC88">
        <f t="shared" si="262"/>
        <v>70</v>
      </c>
      <c r="AD88">
        <f t="shared" si="263"/>
        <v>55</v>
      </c>
      <c r="AE88">
        <f t="shared" si="264"/>
        <v>100</v>
      </c>
      <c r="AF88">
        <f t="shared" si="265"/>
        <v>85</v>
      </c>
      <c r="AG88">
        <f t="shared" si="266"/>
        <v>100</v>
      </c>
      <c r="AH88">
        <f t="shared" si="267"/>
        <v>100</v>
      </c>
      <c r="AI88">
        <f t="shared" si="268"/>
        <v>100</v>
      </c>
      <c r="AJ88">
        <f t="shared" si="269"/>
        <v>82</v>
      </c>
      <c r="AK88">
        <f t="shared" si="270"/>
        <v>100</v>
      </c>
      <c r="AL88">
        <f t="shared" si="271"/>
        <v>10</v>
      </c>
      <c r="AM88">
        <f t="shared" si="272"/>
        <v>81.8</v>
      </c>
      <c r="AN88">
        <f t="shared" si="273"/>
        <v>74</v>
      </c>
      <c r="AO88">
        <f t="shared" si="274"/>
        <v>59.35</v>
      </c>
      <c r="AP88">
        <f t="shared" si="275"/>
        <v>78.25</v>
      </c>
      <c r="AQ88">
        <f t="shared" si="276"/>
        <v>100</v>
      </c>
      <c r="AR88">
        <f t="shared" si="277"/>
        <v>60.4</v>
      </c>
      <c r="AS88">
        <f t="shared" si="278"/>
        <v>77</v>
      </c>
      <c r="AT88" s="12">
        <v>2</v>
      </c>
      <c r="AU88" s="12">
        <v>3</v>
      </c>
      <c r="AV88" s="12">
        <v>3</v>
      </c>
      <c r="AW88">
        <v>3</v>
      </c>
      <c r="AX88" t="e" vm="85">
        <v>#VALUE!</v>
      </c>
      <c r="AY88" s="59" cm="1">
        <f t="array" aca="1" ref="AY88" ca="1">_FV(AX88,"PRECIO")</f>
        <v>378.79</v>
      </c>
      <c r="AZ88" s="37">
        <v>375</v>
      </c>
      <c r="BB88" s="58">
        <f t="shared" ca="1" si="246"/>
        <v>-1.0005543968953827E-2</v>
      </c>
      <c r="BD88">
        <v>-0.05</v>
      </c>
      <c r="BE88">
        <v>45</v>
      </c>
      <c r="BF88">
        <v>-0.1</v>
      </c>
      <c r="BG88">
        <f t="shared" si="279"/>
        <v>25</v>
      </c>
      <c r="BH88">
        <f t="shared" si="280"/>
        <v>70</v>
      </c>
      <c r="BI88">
        <f t="shared" si="281"/>
        <v>25</v>
      </c>
      <c r="BJ88">
        <f t="shared" si="282"/>
        <v>36.299999999999997</v>
      </c>
      <c r="BK88">
        <f t="shared" si="283"/>
        <v>62</v>
      </c>
      <c r="BL88" t="str">
        <f t="shared" si="284"/>
        <v>⚪ NEUTRAL</v>
      </c>
      <c r="BM88" s="49" t="str">
        <f t="shared" si="285"/>
        <v>⚠️ HOLD</v>
      </c>
    </row>
    <row r="89" spans="1:65" x14ac:dyDescent="0.4">
      <c r="A89" t="s">
        <v>432</v>
      </c>
      <c r="B89" t="s">
        <v>44</v>
      </c>
      <c r="C89" s="1">
        <v>-0.02</v>
      </c>
      <c r="D89" s="1">
        <v>-0.01</v>
      </c>
      <c r="E89" s="1">
        <v>-0.02</v>
      </c>
      <c r="F89" s="1">
        <v>0.3</v>
      </c>
      <c r="G89" s="1">
        <v>-0.1</v>
      </c>
      <c r="H89" s="33">
        <v>1</v>
      </c>
      <c r="I89" s="33">
        <v>-2.5</v>
      </c>
      <c r="J89" s="33">
        <v>1.8</v>
      </c>
      <c r="K89" s="34">
        <v>50</v>
      </c>
      <c r="L89" s="18">
        <v>0.27</v>
      </c>
      <c r="M89" s="33">
        <v>-14</v>
      </c>
      <c r="N89" s="18">
        <v>0.02</v>
      </c>
      <c r="O89" s="33">
        <v>85</v>
      </c>
      <c r="P89" s="33">
        <v>70</v>
      </c>
      <c r="Q89" s="33">
        <v>75</v>
      </c>
      <c r="R89" s="18">
        <v>0</v>
      </c>
      <c r="S89" s="18">
        <v>0</v>
      </c>
      <c r="T89" s="18">
        <v>0</v>
      </c>
      <c r="U89">
        <f t="shared" si="254"/>
        <v>0</v>
      </c>
      <c r="V89">
        <f t="shared" si="255"/>
        <v>0</v>
      </c>
      <c r="W89">
        <f t="shared" si="256"/>
        <v>0</v>
      </c>
      <c r="X89">
        <f t="shared" si="257"/>
        <v>100</v>
      </c>
      <c r="Y89">
        <f t="shared" si="258"/>
        <v>0</v>
      </c>
      <c r="Z89">
        <f t="shared" si="259"/>
        <v>52</v>
      </c>
      <c r="AA89">
        <f t="shared" si="260"/>
        <v>100</v>
      </c>
      <c r="AB89">
        <f t="shared" si="261"/>
        <v>70</v>
      </c>
      <c r="AC89">
        <f t="shared" si="262"/>
        <v>100</v>
      </c>
      <c r="AD89">
        <f t="shared" si="263"/>
        <v>100</v>
      </c>
      <c r="AE89">
        <f t="shared" si="264"/>
        <v>0</v>
      </c>
      <c r="AF89">
        <f t="shared" si="265"/>
        <v>100</v>
      </c>
      <c r="AG89">
        <f t="shared" si="266"/>
        <v>0</v>
      </c>
      <c r="AH89">
        <f t="shared" si="267"/>
        <v>0</v>
      </c>
      <c r="AI89">
        <f t="shared" si="268"/>
        <v>10</v>
      </c>
      <c r="AJ89">
        <f t="shared" si="269"/>
        <v>5</v>
      </c>
      <c r="AK89">
        <f t="shared" si="270"/>
        <v>0</v>
      </c>
      <c r="AL89">
        <f t="shared" si="271"/>
        <v>10</v>
      </c>
      <c r="AM89">
        <f t="shared" si="272"/>
        <v>0</v>
      </c>
      <c r="AN89">
        <f t="shared" si="273"/>
        <v>53</v>
      </c>
      <c r="AO89">
        <f t="shared" si="274"/>
        <v>91</v>
      </c>
      <c r="AP89">
        <f t="shared" si="275"/>
        <v>65</v>
      </c>
      <c r="AQ89">
        <f t="shared" si="276"/>
        <v>3</v>
      </c>
      <c r="AR89">
        <f t="shared" si="277"/>
        <v>5.75</v>
      </c>
      <c r="AS89">
        <f t="shared" si="278"/>
        <v>35</v>
      </c>
      <c r="AT89" s="12">
        <v>2</v>
      </c>
      <c r="AU89" s="12">
        <v>3</v>
      </c>
      <c r="AV89" s="12">
        <v>3</v>
      </c>
      <c r="AW89">
        <v>3</v>
      </c>
      <c r="AX89" t="e" vm="86">
        <v>#VALUE!</v>
      </c>
      <c r="AY89" s="59" cm="1">
        <f t="array" aca="1" ref="AY89" ca="1">_FV(AX89,"PRECIO")</f>
        <v>392.62</v>
      </c>
      <c r="AZ89" s="37">
        <v>460</v>
      </c>
      <c r="BB89" s="58">
        <f t="shared" ca="1" si="246"/>
        <v>0.17161632112475164</v>
      </c>
      <c r="BD89">
        <v>0.02</v>
      </c>
      <c r="BE89">
        <v>52</v>
      </c>
      <c r="BF89">
        <v>0</v>
      </c>
      <c r="BG89">
        <f t="shared" si="279"/>
        <v>65</v>
      </c>
      <c r="BH89">
        <f t="shared" si="280"/>
        <v>70</v>
      </c>
      <c r="BI89">
        <f t="shared" si="281"/>
        <v>45</v>
      </c>
      <c r="BJ89">
        <f t="shared" si="282"/>
        <v>59.3</v>
      </c>
      <c r="BK89">
        <f t="shared" si="283"/>
        <v>36</v>
      </c>
      <c r="BL89" t="str">
        <f t="shared" si="284"/>
        <v>🔴 AVOID</v>
      </c>
      <c r="BM89" s="49" t="str">
        <f t="shared" si="285"/>
        <v>🔴 SELL</v>
      </c>
    </row>
    <row r="90" spans="1:65" x14ac:dyDescent="0.4">
      <c r="A90" t="s">
        <v>443</v>
      </c>
      <c r="B90" t="s">
        <v>44</v>
      </c>
      <c r="C90" s="1">
        <v>0.08</v>
      </c>
      <c r="D90" s="1">
        <v>0.08</v>
      </c>
      <c r="E90" s="1">
        <v>0.22</v>
      </c>
      <c r="F90" s="1">
        <v>0.14000000000000001</v>
      </c>
      <c r="G90" s="1">
        <v>0.1</v>
      </c>
      <c r="H90" s="33">
        <v>1</v>
      </c>
      <c r="I90" s="33">
        <v>2.5</v>
      </c>
      <c r="J90" s="33">
        <v>0.7</v>
      </c>
      <c r="K90" s="34">
        <v>10</v>
      </c>
      <c r="L90" s="18">
        <v>0.33</v>
      </c>
      <c r="M90" s="33">
        <v>1.5</v>
      </c>
      <c r="N90" s="18">
        <v>0.02</v>
      </c>
      <c r="O90" s="33">
        <v>30</v>
      </c>
      <c r="P90" s="33">
        <v>25</v>
      </c>
      <c r="Q90" s="33">
        <v>28</v>
      </c>
      <c r="R90" s="18">
        <v>5.0000000000000001E-3</v>
      </c>
      <c r="S90" s="18">
        <v>0.15</v>
      </c>
      <c r="T90" s="18">
        <v>0.01</v>
      </c>
      <c r="U90">
        <f t="shared" si="254"/>
        <v>35</v>
      </c>
      <c r="V90">
        <f t="shared" si="255"/>
        <v>35</v>
      </c>
      <c r="W90">
        <f t="shared" si="256"/>
        <v>88</v>
      </c>
      <c r="X90">
        <f t="shared" si="257"/>
        <v>72</v>
      </c>
      <c r="Y90">
        <f t="shared" si="258"/>
        <v>55</v>
      </c>
      <c r="Z90">
        <f t="shared" si="259"/>
        <v>52</v>
      </c>
      <c r="AA90">
        <f t="shared" si="260"/>
        <v>35</v>
      </c>
      <c r="AB90">
        <f t="shared" si="261"/>
        <v>18</v>
      </c>
      <c r="AC90">
        <f t="shared" si="262"/>
        <v>85</v>
      </c>
      <c r="AD90">
        <f t="shared" si="263"/>
        <v>100</v>
      </c>
      <c r="AE90">
        <f t="shared" si="264"/>
        <v>100</v>
      </c>
      <c r="AF90">
        <f t="shared" si="265"/>
        <v>100</v>
      </c>
      <c r="AG90">
        <f t="shared" si="266"/>
        <v>48</v>
      </c>
      <c r="AH90">
        <f t="shared" si="267"/>
        <v>48</v>
      </c>
      <c r="AI90">
        <f t="shared" si="268"/>
        <v>65</v>
      </c>
      <c r="AJ90">
        <f t="shared" si="269"/>
        <v>42</v>
      </c>
      <c r="AK90">
        <f t="shared" si="270"/>
        <v>0</v>
      </c>
      <c r="AL90">
        <f t="shared" si="271"/>
        <v>50</v>
      </c>
      <c r="AM90">
        <f t="shared" si="272"/>
        <v>50.9</v>
      </c>
      <c r="AN90">
        <f t="shared" si="273"/>
        <v>61.05</v>
      </c>
      <c r="AO90">
        <f t="shared" si="274"/>
        <v>47.399999999999991</v>
      </c>
      <c r="AP90">
        <f t="shared" si="275"/>
        <v>100</v>
      </c>
      <c r="AQ90">
        <f t="shared" si="276"/>
        <v>53.099999999999994</v>
      </c>
      <c r="AR90">
        <f t="shared" si="277"/>
        <v>36.400000000000006</v>
      </c>
      <c r="AS90">
        <f t="shared" si="278"/>
        <v>59</v>
      </c>
      <c r="AT90" s="12">
        <v>2</v>
      </c>
      <c r="AU90" s="12">
        <v>3</v>
      </c>
      <c r="AV90" s="12">
        <v>3</v>
      </c>
      <c r="AW90">
        <v>3</v>
      </c>
      <c r="AX90" t="e" vm="87">
        <v>#VALUE!</v>
      </c>
      <c r="AY90" s="59" cm="1">
        <f t="array" aca="1" ref="AY90" ca="1">_FV(AX90,"PRECIO")</f>
        <v>351.07</v>
      </c>
      <c r="AZ90" s="37">
        <v>430</v>
      </c>
      <c r="BB90" s="58">
        <f t="shared" ca="1" si="246"/>
        <v>0.22482695758680607</v>
      </c>
      <c r="BD90">
        <v>-0.02</v>
      </c>
      <c r="BE90">
        <v>48</v>
      </c>
      <c r="BF90">
        <v>-0.05</v>
      </c>
      <c r="BG90">
        <f t="shared" si="279"/>
        <v>45</v>
      </c>
      <c r="BH90">
        <f t="shared" si="280"/>
        <v>70</v>
      </c>
      <c r="BI90">
        <f t="shared" si="281"/>
        <v>45</v>
      </c>
      <c r="BJ90">
        <f t="shared" si="282"/>
        <v>51.3</v>
      </c>
      <c r="BK90">
        <f t="shared" si="283"/>
        <v>52</v>
      </c>
      <c r="BL90" t="str">
        <f t="shared" si="284"/>
        <v>🟠 WEAK</v>
      </c>
      <c r="BM90" s="49" t="str">
        <f t="shared" si="285"/>
        <v>🟠 UNDERWEIGHT</v>
      </c>
    </row>
    <row r="91" spans="1:65" x14ac:dyDescent="0.4">
      <c r="A91" t="s">
        <v>433</v>
      </c>
      <c r="B91" t="s">
        <v>46</v>
      </c>
      <c r="C91" s="1">
        <v>0.1</v>
      </c>
      <c r="D91" s="1">
        <v>0.08</v>
      </c>
      <c r="E91" s="1">
        <v>0.57299999999999995</v>
      </c>
      <c r="F91" s="1">
        <v>0.1</v>
      </c>
      <c r="G91" s="1">
        <v>0.1</v>
      </c>
      <c r="H91" s="33">
        <v>1</v>
      </c>
      <c r="I91" s="33">
        <v>0.15</v>
      </c>
      <c r="J91" s="33">
        <v>1</v>
      </c>
      <c r="K91" s="34">
        <v>20</v>
      </c>
      <c r="L91" s="18">
        <v>0.55000000000000004</v>
      </c>
      <c r="M91" s="33">
        <v>0.96</v>
      </c>
      <c r="N91" s="18">
        <v>0.03</v>
      </c>
      <c r="O91" s="33">
        <v>22</v>
      </c>
      <c r="P91" s="33">
        <v>20</v>
      </c>
      <c r="Q91" s="33">
        <v>25</v>
      </c>
      <c r="R91" s="18">
        <v>4.2000000000000003E-2</v>
      </c>
      <c r="S91" s="18">
        <v>1</v>
      </c>
      <c r="T91" s="18">
        <v>0</v>
      </c>
      <c r="U91">
        <f t="shared" si="254"/>
        <v>72</v>
      </c>
      <c r="V91">
        <f t="shared" si="255"/>
        <v>72</v>
      </c>
      <c r="W91">
        <f t="shared" si="256"/>
        <v>100</v>
      </c>
      <c r="X91">
        <f t="shared" si="257"/>
        <v>85</v>
      </c>
      <c r="Y91">
        <f t="shared" si="258"/>
        <v>85</v>
      </c>
      <c r="Z91">
        <f t="shared" si="259"/>
        <v>70</v>
      </c>
      <c r="AA91">
        <f t="shared" si="260"/>
        <v>85</v>
      </c>
      <c r="AB91">
        <f t="shared" si="261"/>
        <v>70</v>
      </c>
      <c r="AC91">
        <f t="shared" si="262"/>
        <v>100</v>
      </c>
      <c r="AD91">
        <f t="shared" si="263"/>
        <v>100</v>
      </c>
      <c r="AE91">
        <f t="shared" si="264"/>
        <v>70</v>
      </c>
      <c r="AF91">
        <f t="shared" si="265"/>
        <v>85</v>
      </c>
      <c r="AG91">
        <f t="shared" si="266"/>
        <v>32</v>
      </c>
      <c r="AH91">
        <f t="shared" si="267"/>
        <v>32</v>
      </c>
      <c r="AI91">
        <f t="shared" si="268"/>
        <v>50</v>
      </c>
      <c r="AJ91">
        <f t="shared" si="269"/>
        <v>100</v>
      </c>
      <c r="AK91">
        <f t="shared" si="270"/>
        <v>100</v>
      </c>
      <c r="AL91">
        <f t="shared" si="271"/>
        <v>10</v>
      </c>
      <c r="AM91">
        <f t="shared" si="272"/>
        <v>80.400000000000006</v>
      </c>
      <c r="AN91">
        <f t="shared" si="273"/>
        <v>81.25</v>
      </c>
      <c r="AO91">
        <f t="shared" si="274"/>
        <v>85.75</v>
      </c>
      <c r="AP91">
        <f t="shared" si="275"/>
        <v>85.75</v>
      </c>
      <c r="AQ91">
        <f t="shared" si="276"/>
        <v>37.4</v>
      </c>
      <c r="AR91">
        <f t="shared" si="277"/>
        <v>68.5</v>
      </c>
      <c r="AS91">
        <f t="shared" si="278"/>
        <v>75</v>
      </c>
      <c r="AT91" s="12">
        <v>2</v>
      </c>
      <c r="AU91" s="12">
        <v>3</v>
      </c>
      <c r="AV91" s="12">
        <v>3</v>
      </c>
      <c r="AW91">
        <v>3</v>
      </c>
      <c r="AX91" t="e" vm="88">
        <v>#VALUE!</v>
      </c>
      <c r="AY91" s="59" cm="1">
        <f t="array" aca="1" ref="AY91" ca="1">_FV(AX91,"PRECIO")</f>
        <v>297.58</v>
      </c>
      <c r="AZ91" s="37">
        <v>260</v>
      </c>
      <c r="BB91" s="58">
        <f t="shared" ca="1" si="246"/>
        <v>-0.12628536864036558</v>
      </c>
      <c r="BD91">
        <v>0.03</v>
      </c>
      <c r="BE91">
        <v>55</v>
      </c>
      <c r="BF91">
        <v>0.02</v>
      </c>
      <c r="BG91">
        <f t="shared" si="279"/>
        <v>65</v>
      </c>
      <c r="BH91">
        <f t="shared" si="280"/>
        <v>70</v>
      </c>
      <c r="BI91">
        <f t="shared" si="281"/>
        <v>65</v>
      </c>
      <c r="BJ91">
        <f t="shared" si="282"/>
        <v>66.3</v>
      </c>
      <c r="BK91">
        <f t="shared" si="283"/>
        <v>59</v>
      </c>
      <c r="BL91" t="str">
        <f t="shared" si="284"/>
        <v>⚪ NEUTRAL</v>
      </c>
      <c r="BM91" s="49" t="str">
        <f t="shared" si="285"/>
        <v>⚠️ HOLD</v>
      </c>
    </row>
    <row r="92" spans="1:65" x14ac:dyDescent="0.4">
      <c r="A92" t="s">
        <v>434</v>
      </c>
      <c r="B92" t="s">
        <v>44</v>
      </c>
      <c r="C92" s="1">
        <v>0.1</v>
      </c>
      <c r="D92" s="1">
        <v>0.08</v>
      </c>
      <c r="E92" s="1">
        <v>0.155</v>
      </c>
      <c r="F92" s="1">
        <v>0.11</v>
      </c>
      <c r="G92" s="1">
        <v>0.5</v>
      </c>
      <c r="H92" s="33">
        <v>2</v>
      </c>
      <c r="I92" s="33">
        <v>-0.5</v>
      </c>
      <c r="J92" s="33">
        <v>1.1000000000000001</v>
      </c>
      <c r="K92" s="34">
        <v>25</v>
      </c>
      <c r="L92" s="18">
        <v>0.33</v>
      </c>
      <c r="M92" s="33">
        <v>2.1</v>
      </c>
      <c r="N92" s="18">
        <v>0.02</v>
      </c>
      <c r="O92" s="33">
        <v>25</v>
      </c>
      <c r="P92" s="33">
        <v>22</v>
      </c>
      <c r="Q92" s="33">
        <v>25</v>
      </c>
      <c r="R92" s="18">
        <v>5.0000000000000001E-3</v>
      </c>
      <c r="S92" s="18">
        <v>0.13</v>
      </c>
      <c r="T92" s="18">
        <v>0.04</v>
      </c>
      <c r="U92">
        <f t="shared" si="254"/>
        <v>55</v>
      </c>
      <c r="V92">
        <f t="shared" si="255"/>
        <v>35</v>
      </c>
      <c r="W92">
        <f t="shared" si="256"/>
        <v>72</v>
      </c>
      <c r="X92">
        <f t="shared" si="257"/>
        <v>55</v>
      </c>
      <c r="Y92">
        <f t="shared" si="258"/>
        <v>100</v>
      </c>
      <c r="Z92">
        <f t="shared" si="259"/>
        <v>100</v>
      </c>
      <c r="AA92">
        <f t="shared" si="260"/>
        <v>100</v>
      </c>
      <c r="AB92">
        <f t="shared" si="261"/>
        <v>35</v>
      </c>
      <c r="AC92">
        <f t="shared" si="262"/>
        <v>100</v>
      </c>
      <c r="AD92">
        <f t="shared" si="263"/>
        <v>100</v>
      </c>
      <c r="AE92">
        <f t="shared" si="264"/>
        <v>100</v>
      </c>
      <c r="AF92">
        <f t="shared" si="265"/>
        <v>100</v>
      </c>
      <c r="AG92">
        <f t="shared" si="266"/>
        <v>65</v>
      </c>
      <c r="AH92">
        <f t="shared" si="267"/>
        <v>65</v>
      </c>
      <c r="AI92">
        <f t="shared" si="268"/>
        <v>82</v>
      </c>
      <c r="AJ92">
        <f t="shared" si="269"/>
        <v>42</v>
      </c>
      <c r="AK92">
        <f t="shared" si="270"/>
        <v>0</v>
      </c>
      <c r="AL92">
        <f t="shared" si="271"/>
        <v>100</v>
      </c>
      <c r="AM92">
        <f t="shared" si="272"/>
        <v>53.099999999999994</v>
      </c>
      <c r="AN92">
        <f t="shared" si="273"/>
        <v>82</v>
      </c>
      <c r="AO92">
        <f t="shared" si="274"/>
        <v>80.5</v>
      </c>
      <c r="AP92">
        <f t="shared" si="275"/>
        <v>100</v>
      </c>
      <c r="AQ92">
        <f t="shared" si="276"/>
        <v>70.099999999999994</v>
      </c>
      <c r="AR92">
        <f t="shared" si="277"/>
        <v>53.900000000000006</v>
      </c>
      <c r="AS92">
        <f t="shared" si="278"/>
        <v>73</v>
      </c>
      <c r="AT92" s="12">
        <v>2</v>
      </c>
      <c r="AU92" s="12">
        <v>3</v>
      </c>
      <c r="AV92" s="12">
        <v>3</v>
      </c>
      <c r="AW92">
        <v>3</v>
      </c>
      <c r="AX92" t="e" vm="89">
        <v>#VALUE!</v>
      </c>
      <c r="AY92" s="59" cm="1">
        <f t="array" aca="1" ref="AY92" ca="1">_FV(AX92,"PRECIO")</f>
        <v>185.64</v>
      </c>
      <c r="AZ92" s="37">
        <v>280</v>
      </c>
      <c r="BB92" s="58">
        <f t="shared" ca="1" si="246"/>
        <v>0.50829562594268485</v>
      </c>
      <c r="BD92">
        <v>-0.04</v>
      </c>
      <c r="BE92">
        <v>47</v>
      </c>
      <c r="BF92">
        <v>-0.08</v>
      </c>
      <c r="BG92">
        <f t="shared" si="279"/>
        <v>45</v>
      </c>
      <c r="BH92">
        <f t="shared" si="280"/>
        <v>70</v>
      </c>
      <c r="BI92">
        <f t="shared" si="281"/>
        <v>45</v>
      </c>
      <c r="BJ92">
        <f t="shared" si="282"/>
        <v>51.3</v>
      </c>
      <c r="BK92">
        <f t="shared" si="283"/>
        <v>61</v>
      </c>
      <c r="BL92" t="str">
        <f t="shared" si="284"/>
        <v>⚪ NEUTRAL</v>
      </c>
      <c r="BM92" s="49" t="str">
        <f t="shared" si="285"/>
        <v>⚠️ HOLD</v>
      </c>
    </row>
    <row r="93" spans="1:65" x14ac:dyDescent="0.4">
      <c r="A93" t="s">
        <v>435</v>
      </c>
      <c r="B93" t="s">
        <v>44</v>
      </c>
      <c r="C93" s="1">
        <v>0.15</v>
      </c>
      <c r="D93" s="1">
        <v>0.12</v>
      </c>
      <c r="E93" s="1">
        <v>0.14000000000000001</v>
      </c>
      <c r="F93" s="1">
        <v>0.28000000000000003</v>
      </c>
      <c r="G93" s="1">
        <v>2</v>
      </c>
      <c r="H93" s="33">
        <v>3</v>
      </c>
      <c r="I93" s="33">
        <v>-2</v>
      </c>
      <c r="J93" s="33">
        <v>4</v>
      </c>
      <c r="K93" s="34">
        <v>100</v>
      </c>
      <c r="L93" s="18">
        <v>0.18</v>
      </c>
      <c r="M93" s="33">
        <v>1.3</v>
      </c>
      <c r="N93" s="18">
        <v>0.02</v>
      </c>
      <c r="O93" s="33">
        <v>55</v>
      </c>
      <c r="P93" s="33">
        <v>50</v>
      </c>
      <c r="Q93" s="33">
        <v>55</v>
      </c>
      <c r="R93" s="18">
        <v>0</v>
      </c>
      <c r="S93" s="18">
        <v>0</v>
      </c>
      <c r="T93" s="18">
        <v>0</v>
      </c>
      <c r="U93">
        <f t="shared" si="254"/>
        <v>72</v>
      </c>
      <c r="V93">
        <f t="shared" si="255"/>
        <v>55</v>
      </c>
      <c r="W93">
        <f t="shared" si="256"/>
        <v>72</v>
      </c>
      <c r="X93">
        <f t="shared" si="257"/>
        <v>100</v>
      </c>
      <c r="Y93">
        <f t="shared" si="258"/>
        <v>100</v>
      </c>
      <c r="Z93">
        <f t="shared" si="259"/>
        <v>100</v>
      </c>
      <c r="AA93">
        <f t="shared" si="260"/>
        <v>100</v>
      </c>
      <c r="AB93">
        <f t="shared" si="261"/>
        <v>100</v>
      </c>
      <c r="AC93">
        <f t="shared" si="262"/>
        <v>100</v>
      </c>
      <c r="AD93">
        <f t="shared" si="263"/>
        <v>88</v>
      </c>
      <c r="AE93">
        <f t="shared" si="264"/>
        <v>100</v>
      </c>
      <c r="AF93">
        <f t="shared" si="265"/>
        <v>100</v>
      </c>
      <c r="AG93">
        <f t="shared" si="266"/>
        <v>12</v>
      </c>
      <c r="AH93">
        <f t="shared" si="267"/>
        <v>12</v>
      </c>
      <c r="AI93">
        <f t="shared" si="268"/>
        <v>28</v>
      </c>
      <c r="AJ93">
        <f t="shared" si="269"/>
        <v>5</v>
      </c>
      <c r="AK93">
        <f t="shared" si="270"/>
        <v>0</v>
      </c>
      <c r="AL93">
        <f t="shared" si="271"/>
        <v>10</v>
      </c>
      <c r="AM93">
        <f t="shared" si="272"/>
        <v>66.05</v>
      </c>
      <c r="AN93">
        <f t="shared" si="273"/>
        <v>100</v>
      </c>
      <c r="AO93">
        <f t="shared" si="274"/>
        <v>100</v>
      </c>
      <c r="AP93">
        <f t="shared" si="275"/>
        <v>95.2</v>
      </c>
      <c r="AQ93">
        <f t="shared" si="276"/>
        <v>16.799999999999997</v>
      </c>
      <c r="AR93">
        <f t="shared" si="277"/>
        <v>5.75</v>
      </c>
      <c r="AS93">
        <f t="shared" si="278"/>
        <v>69</v>
      </c>
      <c r="AT93" s="12">
        <v>2</v>
      </c>
      <c r="AU93" s="12">
        <v>3</v>
      </c>
      <c r="AV93" s="12">
        <v>3</v>
      </c>
      <c r="AW93">
        <v>3</v>
      </c>
      <c r="AX93" t="e" vm="90">
        <v>#VALUE!</v>
      </c>
      <c r="AY93" s="59" cm="1">
        <f t="array" aca="1" ref="AY93" ca="1">_FV(AX93,"PRECIO")</f>
        <v>115.43</v>
      </c>
      <c r="AZ93" s="37">
        <v>120</v>
      </c>
      <c r="BB93" s="58">
        <f t="shared" ca="1" si="246"/>
        <v>3.9591094169626549E-2</v>
      </c>
      <c r="BD93">
        <v>-0.08</v>
      </c>
      <c r="BE93">
        <v>45</v>
      </c>
      <c r="BF93">
        <v>-0.12</v>
      </c>
      <c r="BG93">
        <f t="shared" si="279"/>
        <v>25</v>
      </c>
      <c r="BH93">
        <f t="shared" si="280"/>
        <v>70</v>
      </c>
      <c r="BI93">
        <f t="shared" si="281"/>
        <v>25</v>
      </c>
      <c r="BJ93">
        <f t="shared" si="282"/>
        <v>36.299999999999997</v>
      </c>
      <c r="BK93">
        <f t="shared" si="283"/>
        <v>45</v>
      </c>
      <c r="BL93" t="str">
        <f t="shared" si="284"/>
        <v>🟠 WEAK</v>
      </c>
      <c r="BM93" s="49" t="str">
        <f t="shared" si="285"/>
        <v>🟠 UNDERWEIGHT</v>
      </c>
    </row>
    <row r="94" spans="1:65" x14ac:dyDescent="0.4">
      <c r="A94" t="s">
        <v>436</v>
      </c>
      <c r="B94" t="s">
        <v>44</v>
      </c>
      <c r="C94" s="1">
        <v>0.5</v>
      </c>
      <c r="D94" s="1">
        <v>0.25</v>
      </c>
      <c r="E94" s="1">
        <v>0.18</v>
      </c>
      <c r="F94" s="1">
        <v>0.2</v>
      </c>
      <c r="G94" s="1">
        <v>0.45</v>
      </c>
      <c r="H94" s="33">
        <v>2</v>
      </c>
      <c r="I94" s="33">
        <v>-3</v>
      </c>
      <c r="J94" s="33">
        <v>0.8</v>
      </c>
      <c r="K94" s="34">
        <v>30</v>
      </c>
      <c r="L94" s="18">
        <v>0.38</v>
      </c>
      <c r="M94" s="33">
        <v>2.1</v>
      </c>
      <c r="N94" s="18">
        <v>0.02</v>
      </c>
      <c r="O94" s="33">
        <v>50</v>
      </c>
      <c r="P94" s="33">
        <v>45</v>
      </c>
      <c r="Q94" s="33">
        <v>50</v>
      </c>
      <c r="R94" s="18">
        <v>0</v>
      </c>
      <c r="S94" s="18">
        <v>0</v>
      </c>
      <c r="T94" s="18">
        <v>0.02</v>
      </c>
      <c r="U94">
        <f t="shared" si="254"/>
        <v>100</v>
      </c>
      <c r="V94">
        <f t="shared" si="255"/>
        <v>88</v>
      </c>
      <c r="W94">
        <f t="shared" si="256"/>
        <v>88</v>
      </c>
      <c r="X94">
        <f t="shared" si="257"/>
        <v>88</v>
      </c>
      <c r="Y94">
        <f t="shared" si="258"/>
        <v>100</v>
      </c>
      <c r="Z94">
        <f t="shared" si="259"/>
        <v>100</v>
      </c>
      <c r="AA94">
        <f t="shared" si="260"/>
        <v>100</v>
      </c>
      <c r="AB94">
        <f t="shared" si="261"/>
        <v>18</v>
      </c>
      <c r="AC94">
        <f t="shared" si="262"/>
        <v>100</v>
      </c>
      <c r="AD94">
        <f t="shared" si="263"/>
        <v>100</v>
      </c>
      <c r="AE94">
        <f t="shared" si="264"/>
        <v>100</v>
      </c>
      <c r="AF94">
        <f t="shared" si="265"/>
        <v>100</v>
      </c>
      <c r="AG94">
        <f t="shared" si="266"/>
        <v>12</v>
      </c>
      <c r="AH94">
        <f t="shared" si="267"/>
        <v>12</v>
      </c>
      <c r="AI94">
        <f t="shared" si="268"/>
        <v>28</v>
      </c>
      <c r="AJ94">
        <f t="shared" si="269"/>
        <v>5</v>
      </c>
      <c r="AK94">
        <f t="shared" si="270"/>
        <v>0</v>
      </c>
      <c r="AL94">
        <f t="shared" si="271"/>
        <v>68</v>
      </c>
      <c r="AM94">
        <f t="shared" si="272"/>
        <v>92.199999999999989</v>
      </c>
      <c r="AN94">
        <f t="shared" si="273"/>
        <v>95.2</v>
      </c>
      <c r="AO94">
        <f t="shared" si="274"/>
        <v>75.400000000000006</v>
      </c>
      <c r="AP94">
        <f t="shared" si="275"/>
        <v>100</v>
      </c>
      <c r="AQ94">
        <f t="shared" si="276"/>
        <v>16.799999999999997</v>
      </c>
      <c r="AR94">
        <f t="shared" si="277"/>
        <v>26.049999999999997</v>
      </c>
      <c r="AS94">
        <f t="shared" si="278"/>
        <v>74</v>
      </c>
      <c r="AT94" s="12">
        <v>2</v>
      </c>
      <c r="AU94" s="12">
        <v>3</v>
      </c>
      <c r="AV94" s="12">
        <v>3</v>
      </c>
      <c r="AW94">
        <v>3</v>
      </c>
      <c r="AX94" t="e" vm="91">
        <v>#VALUE!</v>
      </c>
      <c r="AY94" s="59" cm="1">
        <f t="array" aca="1" ref="AY94" ca="1">_FV(AX94,"PRECIO")</f>
        <v>156.36000000000001</v>
      </c>
      <c r="AZ94" s="37">
        <v>225</v>
      </c>
      <c r="BB94" s="58">
        <f t="shared" ca="1" si="246"/>
        <v>0.43898695318495767</v>
      </c>
      <c r="BD94">
        <v>0.01</v>
      </c>
      <c r="BE94">
        <v>52</v>
      </c>
      <c r="BF94">
        <v>-0.03</v>
      </c>
      <c r="BG94">
        <f t="shared" si="279"/>
        <v>65</v>
      </c>
      <c r="BH94">
        <f t="shared" si="280"/>
        <v>70</v>
      </c>
      <c r="BI94">
        <f t="shared" si="281"/>
        <v>45</v>
      </c>
      <c r="BJ94">
        <f t="shared" si="282"/>
        <v>59.3</v>
      </c>
      <c r="BK94">
        <f t="shared" si="283"/>
        <v>52</v>
      </c>
      <c r="BL94" t="str">
        <f t="shared" si="284"/>
        <v>🟠 WEAK</v>
      </c>
      <c r="BM94" s="49" t="str">
        <f t="shared" si="285"/>
        <v>🟠 UNDERWEIGHT</v>
      </c>
    </row>
    <row r="95" spans="1:65" x14ac:dyDescent="0.4">
      <c r="A95" t="s">
        <v>437</v>
      </c>
      <c r="B95" t="s">
        <v>44</v>
      </c>
      <c r="C95" s="1">
        <v>0.18</v>
      </c>
      <c r="D95" s="1">
        <v>0.14000000000000001</v>
      </c>
      <c r="E95" s="1">
        <v>0.19</v>
      </c>
      <c r="F95" s="1">
        <v>0.24</v>
      </c>
      <c r="G95" s="1">
        <v>0.6</v>
      </c>
      <c r="H95" s="33">
        <v>2</v>
      </c>
      <c r="I95" s="33">
        <v>-1.5</v>
      </c>
      <c r="J95" s="33">
        <v>1.1000000000000001</v>
      </c>
      <c r="K95" s="34">
        <v>50</v>
      </c>
      <c r="L95" s="18">
        <v>0.3</v>
      </c>
      <c r="M95" s="33">
        <v>1.55</v>
      </c>
      <c r="N95" s="18">
        <v>0.01</v>
      </c>
      <c r="O95" s="33">
        <v>55</v>
      </c>
      <c r="P95" s="33">
        <v>45</v>
      </c>
      <c r="Q95" s="33">
        <v>55</v>
      </c>
      <c r="R95" s="18">
        <v>0</v>
      </c>
      <c r="S95" s="18">
        <v>0</v>
      </c>
      <c r="T95" s="18">
        <v>0.01</v>
      </c>
      <c r="U95">
        <f t="shared" si="254"/>
        <v>72</v>
      </c>
      <c r="V95">
        <f t="shared" si="255"/>
        <v>55</v>
      </c>
      <c r="W95">
        <f t="shared" si="256"/>
        <v>88</v>
      </c>
      <c r="X95">
        <f t="shared" si="257"/>
        <v>88</v>
      </c>
      <c r="Y95">
        <f t="shared" si="258"/>
        <v>100</v>
      </c>
      <c r="Z95">
        <f t="shared" si="259"/>
        <v>100</v>
      </c>
      <c r="AA95">
        <f t="shared" si="260"/>
        <v>100</v>
      </c>
      <c r="AB95">
        <f t="shared" si="261"/>
        <v>35</v>
      </c>
      <c r="AC95">
        <f t="shared" si="262"/>
        <v>100</v>
      </c>
      <c r="AD95">
        <f t="shared" si="263"/>
        <v>100</v>
      </c>
      <c r="AE95">
        <f t="shared" si="264"/>
        <v>100</v>
      </c>
      <c r="AF95">
        <f t="shared" si="265"/>
        <v>100</v>
      </c>
      <c r="AG95">
        <f t="shared" si="266"/>
        <v>12</v>
      </c>
      <c r="AH95">
        <f t="shared" si="267"/>
        <v>12</v>
      </c>
      <c r="AI95">
        <f t="shared" si="268"/>
        <v>28</v>
      </c>
      <c r="AJ95">
        <f t="shared" si="269"/>
        <v>5</v>
      </c>
      <c r="AK95">
        <f t="shared" si="270"/>
        <v>0</v>
      </c>
      <c r="AL95">
        <f t="shared" si="271"/>
        <v>50</v>
      </c>
      <c r="AM95">
        <f t="shared" si="272"/>
        <v>70.849999999999994</v>
      </c>
      <c r="AN95">
        <f t="shared" si="273"/>
        <v>95.2</v>
      </c>
      <c r="AO95">
        <f t="shared" si="274"/>
        <v>80.5</v>
      </c>
      <c r="AP95">
        <f t="shared" si="275"/>
        <v>100</v>
      </c>
      <c r="AQ95">
        <f t="shared" si="276"/>
        <v>16.799999999999997</v>
      </c>
      <c r="AR95">
        <f t="shared" si="277"/>
        <v>19.75</v>
      </c>
      <c r="AS95">
        <f t="shared" si="278"/>
        <v>68</v>
      </c>
      <c r="AT95" s="12">
        <v>2</v>
      </c>
      <c r="AU95" s="12">
        <v>3</v>
      </c>
      <c r="AV95" s="12">
        <v>3</v>
      </c>
      <c r="AW95">
        <v>3</v>
      </c>
      <c r="AX95" t="e" vm="92">
        <v>#VALUE!</v>
      </c>
      <c r="AY95" s="59" cm="1">
        <f t="array" aca="1" ref="AY95" ca="1">_FV(AX95,"PRECIO")</f>
        <v>103.64</v>
      </c>
      <c r="AZ95" s="37">
        <v>165</v>
      </c>
      <c r="BB95" s="58">
        <f t="shared" ca="1" si="246"/>
        <v>0.59204940177537635</v>
      </c>
      <c r="BD95">
        <v>-0.02</v>
      </c>
      <c r="BE95">
        <v>50</v>
      </c>
      <c r="BF95">
        <v>-0.05</v>
      </c>
      <c r="BG95">
        <f t="shared" si="279"/>
        <v>45</v>
      </c>
      <c r="BH95">
        <f t="shared" si="280"/>
        <v>70</v>
      </c>
      <c r="BI95">
        <f t="shared" si="281"/>
        <v>45</v>
      </c>
      <c r="BJ95">
        <f t="shared" si="282"/>
        <v>51.3</v>
      </c>
      <c r="BK95">
        <f t="shared" si="283"/>
        <v>48</v>
      </c>
      <c r="BL95" t="str">
        <f t="shared" si="284"/>
        <v>🟠 WEAK</v>
      </c>
      <c r="BM95" s="49" t="str">
        <f t="shared" si="285"/>
        <v>🟠 UNDERWEIGHT</v>
      </c>
    </row>
    <row r="96" spans="1:65" x14ac:dyDescent="0.4">
      <c r="A96" t="s">
        <v>438</v>
      </c>
      <c r="B96" t="s">
        <v>0</v>
      </c>
      <c r="C96" s="1">
        <v>0.2</v>
      </c>
      <c r="D96" s="1">
        <v>0.15</v>
      </c>
      <c r="E96" s="1">
        <v>0.05</v>
      </c>
      <c r="F96" s="1">
        <v>0.1</v>
      </c>
      <c r="G96" s="1">
        <v>0.15</v>
      </c>
      <c r="H96" s="33">
        <v>2</v>
      </c>
      <c r="I96" s="33">
        <v>1.5</v>
      </c>
      <c r="J96" s="33">
        <v>1.2</v>
      </c>
      <c r="K96" s="34">
        <v>8</v>
      </c>
      <c r="L96" s="18">
        <v>0.05</v>
      </c>
      <c r="M96" s="33">
        <v>1</v>
      </c>
      <c r="N96" s="18">
        <v>0.04</v>
      </c>
      <c r="O96" s="33">
        <v>18</v>
      </c>
      <c r="P96" s="33">
        <v>12</v>
      </c>
      <c r="Q96" s="33">
        <v>20</v>
      </c>
      <c r="R96" s="18">
        <v>1.2E-2</v>
      </c>
      <c r="S96" s="18">
        <v>0.25</v>
      </c>
      <c r="T96" s="18">
        <v>0.02</v>
      </c>
      <c r="U96">
        <f t="shared" si="254"/>
        <v>88</v>
      </c>
      <c r="V96">
        <f t="shared" si="255"/>
        <v>85</v>
      </c>
      <c r="W96">
        <f t="shared" si="256"/>
        <v>68</v>
      </c>
      <c r="X96">
        <f t="shared" si="257"/>
        <v>85</v>
      </c>
      <c r="Y96">
        <f t="shared" si="258"/>
        <v>100</v>
      </c>
      <c r="Z96">
        <f t="shared" si="259"/>
        <v>100</v>
      </c>
      <c r="AA96">
        <f t="shared" si="260"/>
        <v>68</v>
      </c>
      <c r="AB96">
        <f t="shared" si="261"/>
        <v>68</v>
      </c>
      <c r="AC96">
        <f t="shared" si="262"/>
        <v>82</v>
      </c>
      <c r="AD96">
        <f t="shared" si="263"/>
        <v>65</v>
      </c>
      <c r="AE96">
        <f t="shared" si="264"/>
        <v>82</v>
      </c>
      <c r="AF96">
        <f t="shared" si="265"/>
        <v>82</v>
      </c>
      <c r="AG96">
        <f t="shared" si="266"/>
        <v>65</v>
      </c>
      <c r="AH96">
        <f t="shared" si="267"/>
        <v>65</v>
      </c>
      <c r="AI96">
        <f t="shared" si="268"/>
        <v>82</v>
      </c>
      <c r="AJ96">
        <f t="shared" si="269"/>
        <v>45</v>
      </c>
      <c r="AK96">
        <f t="shared" si="270"/>
        <v>50</v>
      </c>
      <c r="AL96">
        <f t="shared" si="271"/>
        <v>82</v>
      </c>
      <c r="AM96">
        <f t="shared" si="272"/>
        <v>80.949999999999989</v>
      </c>
      <c r="AN96">
        <f t="shared" si="273"/>
        <v>94</v>
      </c>
      <c r="AO96">
        <f t="shared" si="274"/>
        <v>72.899999999999991</v>
      </c>
      <c r="AP96">
        <f t="shared" si="275"/>
        <v>75.2</v>
      </c>
      <c r="AQ96">
        <f t="shared" si="276"/>
        <v>70.099999999999994</v>
      </c>
      <c r="AR96">
        <f t="shared" si="277"/>
        <v>58.95</v>
      </c>
      <c r="AS96">
        <f t="shared" si="278"/>
        <v>76</v>
      </c>
      <c r="AT96" s="12">
        <v>2</v>
      </c>
      <c r="AU96" s="12">
        <v>3</v>
      </c>
      <c r="AV96" s="12">
        <v>3</v>
      </c>
      <c r="AW96">
        <v>3</v>
      </c>
      <c r="AX96" t="e" vm="93">
        <v>#VALUE!</v>
      </c>
      <c r="AY96" s="59" cm="1">
        <f t="array" aca="1" ref="AY96" ca="1">_FV(AX96,"PRECIO")</f>
        <v>94.2</v>
      </c>
      <c r="AZ96" s="37">
        <v>87</v>
      </c>
      <c r="BB96" s="58">
        <f t="shared" ca="1" si="246"/>
        <v>-7.6433121019108305E-2</v>
      </c>
      <c r="BD96">
        <v>0.05</v>
      </c>
      <c r="BE96">
        <v>55</v>
      </c>
      <c r="BF96">
        <v>0.08</v>
      </c>
      <c r="BG96">
        <f t="shared" si="279"/>
        <v>65</v>
      </c>
      <c r="BH96">
        <f t="shared" si="280"/>
        <v>70</v>
      </c>
      <c r="BI96">
        <f t="shared" si="281"/>
        <v>65</v>
      </c>
      <c r="BJ96">
        <f t="shared" si="282"/>
        <v>66.3</v>
      </c>
      <c r="BK96">
        <f t="shared" si="283"/>
        <v>65</v>
      </c>
      <c r="BL96" t="str">
        <f t="shared" si="284"/>
        <v>⚪ NEUTRAL</v>
      </c>
      <c r="BM96" s="49" t="str">
        <f t="shared" si="285"/>
        <v>✅ BUY</v>
      </c>
    </row>
    <row r="97" spans="1:65" x14ac:dyDescent="0.4">
      <c r="A97" t="s">
        <v>439</v>
      </c>
      <c r="B97" t="s">
        <v>44</v>
      </c>
      <c r="C97" s="1">
        <v>0.2</v>
      </c>
      <c r="D97" s="1">
        <v>0.15</v>
      </c>
      <c r="E97" s="1">
        <v>0.04</v>
      </c>
      <c r="F97" s="1">
        <v>0.25</v>
      </c>
      <c r="G97" s="1">
        <v>0.2</v>
      </c>
      <c r="H97" s="33">
        <v>2</v>
      </c>
      <c r="I97" s="33">
        <v>1</v>
      </c>
      <c r="J97" s="33">
        <v>0.8</v>
      </c>
      <c r="K97" s="34">
        <v>10</v>
      </c>
      <c r="L97" s="18">
        <v>0.15</v>
      </c>
      <c r="M97" s="33">
        <v>3.5</v>
      </c>
      <c r="N97" s="18">
        <v>0.03</v>
      </c>
      <c r="O97" s="33">
        <v>40</v>
      </c>
      <c r="P97" s="33">
        <v>30</v>
      </c>
      <c r="Q97" s="33">
        <v>35</v>
      </c>
      <c r="R97" s="18">
        <v>0</v>
      </c>
      <c r="S97" s="18">
        <v>0</v>
      </c>
      <c r="T97" s="18">
        <v>0</v>
      </c>
      <c r="U97">
        <f t="shared" si="254"/>
        <v>72</v>
      </c>
      <c r="V97">
        <f t="shared" si="255"/>
        <v>72</v>
      </c>
      <c r="W97">
        <f t="shared" si="256"/>
        <v>35</v>
      </c>
      <c r="X97">
        <f t="shared" si="257"/>
        <v>100</v>
      </c>
      <c r="Y97">
        <f t="shared" si="258"/>
        <v>88</v>
      </c>
      <c r="Z97">
        <f t="shared" si="259"/>
        <v>100</v>
      </c>
      <c r="AA97">
        <f t="shared" si="260"/>
        <v>72</v>
      </c>
      <c r="AB97">
        <f t="shared" si="261"/>
        <v>18</v>
      </c>
      <c r="AC97">
        <f t="shared" si="262"/>
        <v>85</v>
      </c>
      <c r="AD97">
        <f t="shared" si="263"/>
        <v>72</v>
      </c>
      <c r="AE97">
        <f t="shared" si="264"/>
        <v>100</v>
      </c>
      <c r="AF97">
        <f t="shared" si="265"/>
        <v>100</v>
      </c>
      <c r="AG97">
        <f t="shared" si="266"/>
        <v>30</v>
      </c>
      <c r="AH97">
        <f t="shared" si="267"/>
        <v>30</v>
      </c>
      <c r="AI97">
        <f t="shared" si="268"/>
        <v>48</v>
      </c>
      <c r="AJ97">
        <f t="shared" si="269"/>
        <v>5</v>
      </c>
      <c r="AK97">
        <f t="shared" si="270"/>
        <v>0</v>
      </c>
      <c r="AL97">
        <f t="shared" si="271"/>
        <v>10</v>
      </c>
      <c r="AM97">
        <f t="shared" si="272"/>
        <v>60.9</v>
      </c>
      <c r="AN97">
        <f t="shared" si="273"/>
        <v>95.8</v>
      </c>
      <c r="AO97">
        <f t="shared" si="274"/>
        <v>60.349999999999994</v>
      </c>
      <c r="AP97">
        <f t="shared" si="275"/>
        <v>88.8</v>
      </c>
      <c r="AQ97">
        <f t="shared" si="276"/>
        <v>35.4</v>
      </c>
      <c r="AR97">
        <f t="shared" si="277"/>
        <v>5.75</v>
      </c>
      <c r="AS97">
        <f t="shared" si="278"/>
        <v>63</v>
      </c>
      <c r="AT97" s="12">
        <v>2</v>
      </c>
      <c r="AU97" s="12">
        <v>3</v>
      </c>
      <c r="AV97" s="12">
        <v>3</v>
      </c>
      <c r="AW97">
        <v>3</v>
      </c>
      <c r="AX97" t="e" vm="94">
        <v>#VALUE!</v>
      </c>
      <c r="AY97" s="59" cm="1">
        <f t="array" aca="1" ref="AY97" ca="1">_FV(AX97,"PRECIO")</f>
        <v>93.96</v>
      </c>
      <c r="AZ97" s="37">
        <v>124</v>
      </c>
      <c r="BB97" s="58">
        <f t="shared" ca="1" si="246"/>
        <v>0.31971051511281406</v>
      </c>
      <c r="BD97">
        <v>0.03</v>
      </c>
      <c r="BE97">
        <v>50</v>
      </c>
      <c r="BF97">
        <v>0.02</v>
      </c>
      <c r="BG97">
        <f t="shared" si="279"/>
        <v>65</v>
      </c>
      <c r="BH97">
        <f t="shared" si="280"/>
        <v>70</v>
      </c>
      <c r="BI97">
        <f t="shared" si="281"/>
        <v>65</v>
      </c>
      <c r="BJ97">
        <f t="shared" si="282"/>
        <v>66.3</v>
      </c>
      <c r="BK97">
        <f t="shared" si="283"/>
        <v>53</v>
      </c>
      <c r="BL97" t="str">
        <f t="shared" si="284"/>
        <v>🟠 WEAK</v>
      </c>
      <c r="BM97" s="49" t="str">
        <f t="shared" si="285"/>
        <v>🟠 UNDERWEIGHT</v>
      </c>
    </row>
    <row r="98" spans="1:65" x14ac:dyDescent="0.4">
      <c r="A98" t="s">
        <v>440</v>
      </c>
      <c r="B98" t="s">
        <v>44</v>
      </c>
      <c r="C98" s="1">
        <v>0.95</v>
      </c>
      <c r="D98" s="1">
        <v>0.4</v>
      </c>
      <c r="E98" s="1">
        <v>0.28000000000000003</v>
      </c>
      <c r="F98" s="1">
        <v>0.12</v>
      </c>
      <c r="G98" s="1">
        <v>0.15</v>
      </c>
      <c r="H98" s="33">
        <v>2</v>
      </c>
      <c r="I98" s="33">
        <v>-2.5</v>
      </c>
      <c r="J98" s="33">
        <v>1</v>
      </c>
      <c r="K98" s="34">
        <v>25</v>
      </c>
      <c r="L98" s="18">
        <v>0.35</v>
      </c>
      <c r="M98" s="33">
        <v>1.25</v>
      </c>
      <c r="N98" s="18">
        <v>0.02</v>
      </c>
      <c r="O98" s="33">
        <v>40</v>
      </c>
      <c r="P98" s="33">
        <v>35</v>
      </c>
      <c r="Q98" s="33">
        <v>40</v>
      </c>
      <c r="R98" s="18">
        <v>0</v>
      </c>
      <c r="S98" s="18">
        <v>0</v>
      </c>
      <c r="T98" s="18">
        <v>0.04</v>
      </c>
      <c r="U98">
        <f t="shared" si="254"/>
        <v>100</v>
      </c>
      <c r="V98">
        <f t="shared" si="255"/>
        <v>100</v>
      </c>
      <c r="W98">
        <f t="shared" si="256"/>
        <v>100</v>
      </c>
      <c r="X98">
        <f t="shared" si="257"/>
        <v>72</v>
      </c>
      <c r="Y98">
        <f t="shared" si="258"/>
        <v>72</v>
      </c>
      <c r="Z98">
        <f t="shared" si="259"/>
        <v>100</v>
      </c>
      <c r="AA98">
        <f t="shared" si="260"/>
        <v>100</v>
      </c>
      <c r="AB98">
        <f t="shared" si="261"/>
        <v>35</v>
      </c>
      <c r="AC98">
        <f t="shared" si="262"/>
        <v>100</v>
      </c>
      <c r="AD98">
        <f t="shared" si="263"/>
        <v>100</v>
      </c>
      <c r="AE98">
        <f t="shared" si="264"/>
        <v>88</v>
      </c>
      <c r="AF98">
        <f t="shared" si="265"/>
        <v>100</v>
      </c>
      <c r="AG98">
        <f t="shared" si="266"/>
        <v>30</v>
      </c>
      <c r="AH98">
        <f t="shared" si="267"/>
        <v>30</v>
      </c>
      <c r="AI98">
        <f t="shared" si="268"/>
        <v>48</v>
      </c>
      <c r="AJ98">
        <f t="shared" si="269"/>
        <v>5</v>
      </c>
      <c r="AK98">
        <f t="shared" si="270"/>
        <v>0</v>
      </c>
      <c r="AL98">
        <f t="shared" si="271"/>
        <v>100</v>
      </c>
      <c r="AM98">
        <f t="shared" si="272"/>
        <v>100</v>
      </c>
      <c r="AN98">
        <f t="shared" si="273"/>
        <v>79</v>
      </c>
      <c r="AO98">
        <f t="shared" si="274"/>
        <v>80.5</v>
      </c>
      <c r="AP98">
        <f t="shared" si="275"/>
        <v>95.8</v>
      </c>
      <c r="AQ98">
        <f t="shared" si="276"/>
        <v>35.4</v>
      </c>
      <c r="AR98">
        <f t="shared" si="277"/>
        <v>37.25</v>
      </c>
      <c r="AS98">
        <f t="shared" si="278"/>
        <v>76</v>
      </c>
      <c r="AT98" s="12">
        <v>2</v>
      </c>
      <c r="AU98" s="12">
        <v>3</v>
      </c>
      <c r="AV98" s="12">
        <v>3</v>
      </c>
      <c r="AW98">
        <v>3</v>
      </c>
      <c r="AX98" t="e" vm="95">
        <v>#VALUE!</v>
      </c>
      <c r="AY98" s="59" cm="1">
        <f t="array" aca="1" ref="AY98" ca="1">_FV(AX98,"PRECIO")</f>
        <v>81.03</v>
      </c>
      <c r="AZ98" s="37">
        <v>108</v>
      </c>
      <c r="BB98" s="58">
        <f t="shared" ca="1" si="246"/>
        <v>0.33283968900407257</v>
      </c>
      <c r="BD98">
        <v>-0.05</v>
      </c>
      <c r="BE98">
        <v>48</v>
      </c>
      <c r="BF98">
        <v>-0.1</v>
      </c>
      <c r="BG98">
        <f t="shared" si="279"/>
        <v>25</v>
      </c>
      <c r="BH98">
        <f t="shared" si="280"/>
        <v>70</v>
      </c>
      <c r="BI98">
        <f t="shared" si="281"/>
        <v>25</v>
      </c>
      <c r="BJ98">
        <f t="shared" si="282"/>
        <v>36.299999999999997</v>
      </c>
      <c r="BK98">
        <f t="shared" si="283"/>
        <v>51</v>
      </c>
      <c r="BL98" t="str">
        <f t="shared" si="284"/>
        <v>🟠 WEAK</v>
      </c>
      <c r="BM98" s="49" t="str">
        <f t="shared" si="285"/>
        <v>🟠 UNDERWEIGHT</v>
      </c>
    </row>
    <row r="99" spans="1:65" x14ac:dyDescent="0.4">
      <c r="A99" t="s">
        <v>441</v>
      </c>
      <c r="B99" t="s">
        <v>44</v>
      </c>
      <c r="C99" s="1">
        <v>0.08</v>
      </c>
      <c r="D99" s="1">
        <v>0.06</v>
      </c>
      <c r="E99" s="1">
        <v>0.12</v>
      </c>
      <c r="F99" s="1">
        <v>7.0000000000000007E-2</v>
      </c>
      <c r="G99" s="1">
        <v>0.3</v>
      </c>
      <c r="H99" s="33">
        <v>2</v>
      </c>
      <c r="I99" s="33">
        <v>-3</v>
      </c>
      <c r="J99" s="33">
        <v>1</v>
      </c>
      <c r="K99" s="34">
        <v>30</v>
      </c>
      <c r="L99" s="18">
        <v>0.3</v>
      </c>
      <c r="M99" s="33">
        <v>2.5</v>
      </c>
      <c r="N99" s="18">
        <v>0.02</v>
      </c>
      <c r="O99" s="33">
        <v>18</v>
      </c>
      <c r="P99" s="33">
        <v>15</v>
      </c>
      <c r="Q99" s="33">
        <v>18</v>
      </c>
      <c r="R99" s="18">
        <v>0</v>
      </c>
      <c r="S99" s="18">
        <v>0</v>
      </c>
      <c r="T99" s="18">
        <v>0.05</v>
      </c>
      <c r="U99">
        <f t="shared" si="254"/>
        <v>35</v>
      </c>
      <c r="V99">
        <f t="shared" si="255"/>
        <v>35</v>
      </c>
      <c r="W99">
        <f t="shared" si="256"/>
        <v>72</v>
      </c>
      <c r="X99">
        <f t="shared" si="257"/>
        <v>55</v>
      </c>
      <c r="Y99">
        <f t="shared" si="258"/>
        <v>100</v>
      </c>
      <c r="Z99">
        <f t="shared" si="259"/>
        <v>100</v>
      </c>
      <c r="AA99">
        <f t="shared" si="260"/>
        <v>100</v>
      </c>
      <c r="AB99">
        <f t="shared" si="261"/>
        <v>35</v>
      </c>
      <c r="AC99">
        <f t="shared" si="262"/>
        <v>100</v>
      </c>
      <c r="AD99">
        <f t="shared" si="263"/>
        <v>100</v>
      </c>
      <c r="AE99">
        <f t="shared" si="264"/>
        <v>100</v>
      </c>
      <c r="AF99">
        <f t="shared" si="265"/>
        <v>100</v>
      </c>
      <c r="AG99">
        <f t="shared" si="266"/>
        <v>82</v>
      </c>
      <c r="AH99">
        <f t="shared" si="267"/>
        <v>82</v>
      </c>
      <c r="AI99">
        <f t="shared" si="268"/>
        <v>100</v>
      </c>
      <c r="AJ99">
        <f t="shared" si="269"/>
        <v>5</v>
      </c>
      <c r="AK99">
        <f t="shared" si="270"/>
        <v>0</v>
      </c>
      <c r="AL99">
        <f t="shared" si="271"/>
        <v>100</v>
      </c>
      <c r="AM99">
        <f t="shared" si="272"/>
        <v>46.099999999999994</v>
      </c>
      <c r="AN99">
        <f t="shared" si="273"/>
        <v>82</v>
      </c>
      <c r="AO99">
        <f t="shared" si="274"/>
        <v>80.5</v>
      </c>
      <c r="AP99">
        <f t="shared" si="275"/>
        <v>100</v>
      </c>
      <c r="AQ99">
        <f t="shared" si="276"/>
        <v>87.4</v>
      </c>
      <c r="AR99">
        <f t="shared" si="277"/>
        <v>37.25</v>
      </c>
      <c r="AS99">
        <f t="shared" si="278"/>
        <v>72</v>
      </c>
      <c r="AT99" s="12">
        <v>2</v>
      </c>
      <c r="AU99" s="12">
        <v>3</v>
      </c>
      <c r="AV99" s="12">
        <v>3</v>
      </c>
      <c r="AW99">
        <v>3</v>
      </c>
      <c r="AX99" t="e" vm="96">
        <v>#VALUE!</v>
      </c>
      <c r="AY99" s="59" cm="1">
        <f t="array" aca="1" ref="AY99" ca="1">_FV(AX99,"PRECIO")</f>
        <v>47.18</v>
      </c>
      <c r="AZ99" s="37">
        <v>90</v>
      </c>
      <c r="BB99" s="58">
        <f t="shared" ca="1" si="246"/>
        <v>0.90758796100042394</v>
      </c>
      <c r="BD99">
        <v>0.1</v>
      </c>
      <c r="BE99">
        <v>58</v>
      </c>
      <c r="BF99">
        <v>0.15</v>
      </c>
      <c r="BG99">
        <f t="shared" si="279"/>
        <v>80</v>
      </c>
      <c r="BH99">
        <f t="shared" si="280"/>
        <v>70</v>
      </c>
      <c r="BI99">
        <f t="shared" si="281"/>
        <v>80</v>
      </c>
      <c r="BJ99">
        <f t="shared" si="282"/>
        <v>77.5</v>
      </c>
      <c r="BK99">
        <f t="shared" si="283"/>
        <v>70</v>
      </c>
      <c r="BL99" t="str">
        <f t="shared" si="284"/>
        <v>🟡 FAVORABLE</v>
      </c>
      <c r="BM99" s="49" t="str">
        <f t="shared" si="285"/>
        <v>✅ BUY</v>
      </c>
    </row>
    <row r="100" spans="1:65" x14ac:dyDescent="0.4">
      <c r="A100" t="s">
        <v>442</v>
      </c>
      <c r="B100" t="s">
        <v>45</v>
      </c>
      <c r="C100" s="1">
        <v>0.15</v>
      </c>
      <c r="D100" s="1">
        <v>0.12</v>
      </c>
      <c r="E100" s="1">
        <v>0.1</v>
      </c>
      <c r="F100" s="1">
        <v>0.6</v>
      </c>
      <c r="G100" s="1">
        <v>2</v>
      </c>
      <c r="H100" s="33">
        <v>3</v>
      </c>
      <c r="I100" s="33">
        <v>-3</v>
      </c>
      <c r="J100" s="33">
        <v>3</v>
      </c>
      <c r="K100" s="34">
        <v>100</v>
      </c>
      <c r="L100" s="18">
        <v>0.08</v>
      </c>
      <c r="M100" s="33">
        <v>0.8</v>
      </c>
      <c r="N100" s="18">
        <v>0.03</v>
      </c>
      <c r="O100" s="33">
        <v>30</v>
      </c>
      <c r="P100" s="33">
        <v>25</v>
      </c>
      <c r="Q100" s="33">
        <v>40</v>
      </c>
      <c r="R100" s="18">
        <v>0</v>
      </c>
      <c r="S100" s="18">
        <v>0</v>
      </c>
      <c r="T100" s="18">
        <v>0</v>
      </c>
      <c r="U100">
        <f t="shared" si="254"/>
        <v>72</v>
      </c>
      <c r="V100">
        <f t="shared" si="255"/>
        <v>72</v>
      </c>
      <c r="W100">
        <f t="shared" si="256"/>
        <v>72</v>
      </c>
      <c r="X100">
        <f t="shared" si="257"/>
        <v>100</v>
      </c>
      <c r="Y100">
        <f t="shared" si="258"/>
        <v>100</v>
      </c>
      <c r="Z100">
        <f t="shared" si="259"/>
        <v>100</v>
      </c>
      <c r="AA100">
        <f t="shared" si="260"/>
        <v>100</v>
      </c>
      <c r="AB100">
        <f t="shared" si="261"/>
        <v>100</v>
      </c>
      <c r="AC100">
        <f t="shared" si="262"/>
        <v>100</v>
      </c>
      <c r="AD100">
        <f t="shared" si="263"/>
        <v>68</v>
      </c>
      <c r="AE100">
        <f t="shared" si="264"/>
        <v>70</v>
      </c>
      <c r="AF100">
        <f t="shared" si="265"/>
        <v>100</v>
      </c>
      <c r="AG100">
        <f t="shared" si="266"/>
        <v>48</v>
      </c>
      <c r="AH100">
        <f t="shared" si="267"/>
        <v>48</v>
      </c>
      <c r="AI100">
        <f t="shared" si="268"/>
        <v>48</v>
      </c>
      <c r="AJ100">
        <f t="shared" si="269"/>
        <v>5</v>
      </c>
      <c r="AK100">
        <f t="shared" si="270"/>
        <v>0</v>
      </c>
      <c r="AL100">
        <f t="shared" si="271"/>
        <v>10</v>
      </c>
      <c r="AM100">
        <f t="shared" si="272"/>
        <v>72</v>
      </c>
      <c r="AN100">
        <f t="shared" si="273"/>
        <v>100</v>
      </c>
      <c r="AO100">
        <f t="shared" si="274"/>
        <v>100</v>
      </c>
      <c r="AP100">
        <f t="shared" si="275"/>
        <v>76.7</v>
      </c>
      <c r="AQ100">
        <f t="shared" si="276"/>
        <v>47.999999999999993</v>
      </c>
      <c r="AR100">
        <f t="shared" si="277"/>
        <v>5.75</v>
      </c>
      <c r="AS100">
        <f t="shared" si="278"/>
        <v>75</v>
      </c>
      <c r="AT100" s="12">
        <v>2</v>
      </c>
      <c r="AU100" s="12">
        <v>3</v>
      </c>
      <c r="AV100" s="12">
        <v>3</v>
      </c>
      <c r="AW100">
        <v>3</v>
      </c>
      <c r="AX100" t="e" vm="97">
        <v>#VALUE!</v>
      </c>
      <c r="AY100" s="59" cm="1">
        <f t="array" aca="1" ref="AY100" ca="1">_FV(AX100,"PRECIO")</f>
        <v>20.86</v>
      </c>
      <c r="AZ100" s="37">
        <v>23</v>
      </c>
      <c r="BB100" s="58">
        <f t="shared" ca="1" si="246"/>
        <v>0.10258868648130397</v>
      </c>
      <c r="BD100">
        <v>-0.1</v>
      </c>
      <c r="BE100">
        <v>42</v>
      </c>
      <c r="BF100">
        <v>-0.15</v>
      </c>
      <c r="BG100">
        <f t="shared" si="279"/>
        <v>10</v>
      </c>
      <c r="BH100">
        <f t="shared" si="280"/>
        <v>70</v>
      </c>
      <c r="BI100">
        <f t="shared" si="281"/>
        <v>25</v>
      </c>
      <c r="BJ100">
        <f t="shared" si="282"/>
        <v>30.3</v>
      </c>
      <c r="BK100">
        <f t="shared" si="283"/>
        <v>52</v>
      </c>
      <c r="BL100" t="str">
        <f t="shared" si="284"/>
        <v>🟠 WEAK</v>
      </c>
      <c r="BM100" s="49" t="str">
        <f t="shared" si="285"/>
        <v>🟠 UNDERWEIGHT</v>
      </c>
    </row>
    <row r="101" spans="1:65" x14ac:dyDescent="0.4">
      <c r="V101" t="str">
        <f t="shared" ref="V101:V110" si="286">IF(OR($C101="",D101=""),"",IF(ISERROR(MATCH($C101,GP_ROE_Sectors,0)),0,IF(D101&gt;=INDEX(GP_ROE_T,MATCH($C101,GP_ROE_Sectors,0),1),INDEX(GP_ROE_T,MATCH($C101,GP_ROE_Sectors,0),2),IF(D101&gt;=INDEX(GP_ROE_T,MATCH($C101,GP_ROE_Sectors,0),3),INDEX(GP_ROE_T,MATCH($C101,GP_ROE_Sectors,0),4),IF(D101&gt;=INDEX(GP_ROE_T,MATCH($C101,GP_ROE_Sectors,0),5),INDEX(GP_ROE_T,MATCH($C101,GP_ROE_Sectors,0),6),IF(D101&gt;=INDEX(GP_ROE_T,MATCH($C101,GP_ROE_Sectors,0),7),INDEX(GP_ROE_T,MATCH($C101,GP_ROE_Sectors,0),8),IF(D101&gt;=INDEX(GP_ROE_T,MATCH($C101,GP_ROE_Sectors,0),9),INDEX(GP_ROE_T,MATCH($C101,GP_ROE_Sectors,0),10),IF(D101&gt;=INDEX(GP_ROE_T,MATCH($C101,GP_ROE_Sectors,0),11),INDEX(GP_ROE_T,MATCH($C101,GP_ROE_Sectors,0),12),0))))))))</f>
        <v/>
      </c>
      <c r="W101" t="str">
        <f t="shared" ref="W101:W110" si="287">IF(OR($C101="",E101=""),"",IF(ISERROR(MATCH($C101,GP_ROIC_Sectors,0)),0,IF(E101&gt;=INDEX(GP_ROIC_T,MATCH($C101,GP_ROIC_Sectors,0),1),INDEX(GP_ROIC_T,MATCH($C101,GP_ROIC_Sectors,0),2),IF(E101&gt;=INDEX(GP_ROIC_T,MATCH($C101,GP_ROIC_Sectors,0),3),INDEX(GP_ROIC_T,MATCH($C101,GP_ROIC_Sectors,0),4),IF(E101&gt;=INDEX(GP_ROIC_T,MATCH($C101,GP_ROIC_Sectors,0),5),INDEX(GP_ROIC_T,MATCH($C101,GP_ROIC_Sectors,0),6),IF(E101&gt;=INDEX(GP_ROIC_T,MATCH($C101,GP_ROIC_Sectors,0),7),INDEX(GP_ROIC_T,MATCH($C101,GP_ROIC_Sectors,0),8),IF(E101&gt;=INDEX(GP_ROIC_T,MATCH($C101,GP_ROIC_Sectors,0),9),INDEX(GP_ROIC_T,MATCH($C101,GP_ROIC_Sectors,0),10),IF(E101&gt;=INDEX(GP_ROIC_T,MATCH($C101,GP_ROIC_Sectors,0),11),INDEX(GP_ROIC_T,MATCH($C101,GP_ROIC_Sectors,0),12),0))))))))</f>
        <v/>
      </c>
      <c r="X101" t="str">
        <f t="shared" ref="X101:X110" si="288">IF(OR($C101="",F101=""),"",IF(ISERROR(MATCH($C101,GP_NM_Sectors,0)),0,IF(F101&gt;=INDEX(GP_NM_T,MATCH($C101,GP_NM_Sectors,0),1),INDEX(GP_NM_T,MATCH($C101,GP_NM_Sectors,0),2),IF(F101&gt;=INDEX(GP_NM_T,MATCH($C101,GP_NM_Sectors,0),3),INDEX(GP_NM_T,MATCH($C101,GP_NM_Sectors,0),4),IF(F101&gt;=INDEX(GP_NM_T,MATCH($C101,GP_NM_Sectors,0),5),INDEX(GP_NM_T,MATCH($C101,GP_NM_Sectors,0),6),IF(F101&gt;=INDEX(GP_NM_T,MATCH($C101,GP_NM_Sectors,0),7),INDEX(GP_NM_T,MATCH($C101,GP_NM_Sectors,0),8),IF(F101&gt;=INDEX(GP_NM_T,MATCH($C101,GP_NM_Sectors,0),9),INDEX(GP_NM_T,MATCH($C101,GP_NM_Sectors,0),10),IF(F101&gt;=INDEX(GP_NM_T,MATCH($C101,GP_NM_Sectors,0),11),INDEX(GP_NM_T,MATCH($C101,GP_NM_Sectors,0),12),0))))))))</f>
        <v/>
      </c>
      <c r="Y101" t="str">
        <f t="shared" ref="Y101:Y110" si="289">IF(OR($C101="",G101=""),"",IF(ISERROR(MATCH($C101,GP_RG_Sectors,0)),0,IF(G101&gt;=INDEX(GP_RG_T,MATCH($C101,GP_RG_Sectors,0),1),INDEX(GP_RG_T,MATCH($C101,GP_RG_Sectors,0),2),IF(G101&gt;=INDEX(GP_RG_T,MATCH($C101,GP_RG_Sectors,0),3),INDEX(GP_RG_T,MATCH($C101,GP_RG_Sectors,0),4),IF(G101&gt;=INDEX(GP_RG_T,MATCH($C101,GP_RG_Sectors,0),5),INDEX(GP_RG_T,MATCH($C101,GP_RG_Sectors,0),6),IF(G101&gt;=INDEX(GP_RG_T,MATCH($C101,GP_RG_Sectors,0),7),INDEX(GP_RG_T,MATCH($C101,GP_RG_Sectors,0),8),IF(G101&gt;=INDEX(GP_RG_T,MATCH($C101,GP_RG_Sectors,0),9),INDEX(GP_RG_T,MATCH($C101,GP_RG_Sectors,0),10),IF(G101&gt;=INDEX(GP_RG_T,MATCH($C101,GP_RG_Sectors,0),11),INDEX(GP_RG_T,MATCH($C101,GP_RG_Sectors,0),12),0))))))))</f>
        <v/>
      </c>
      <c r="Z101" t="str">
        <f t="shared" ref="Z101:Z110" si="290">IF(OR($C101="",H101=""),"",IF(ISERROR(MATCH($C101,GP_EG_Sectors,0)),0,IF(H101&gt;=INDEX(GP_EG_T,MATCH($C101,GP_EG_Sectors,0),1),INDEX(GP_EG_T,MATCH($C101,GP_EG_Sectors,0),2),IF(H101&gt;=INDEX(GP_EG_T,MATCH($C101,GP_EG_Sectors,0),3),INDEX(GP_EG_T,MATCH($C101,GP_EG_Sectors,0),4),IF(H101&gt;=INDEX(GP_EG_T,MATCH($C101,GP_EG_Sectors,0),5),INDEX(GP_EG_T,MATCH($C101,GP_EG_Sectors,0),6),IF(H101&gt;=INDEX(GP_EG_T,MATCH($C101,GP_EG_Sectors,0),7),INDEX(GP_EG_T,MATCH($C101,GP_EG_Sectors,0),8),IF(H101&gt;=INDEX(GP_EG_T,MATCH($C101,GP_EG_Sectors,0),9),INDEX(GP_EG_T,MATCH($C101,GP_EG_Sectors,0),10),IF(H101&gt;=INDEX(GP_EG_T,MATCH($C101,GP_EG_Sectors,0),11),INDEX(GP_EG_T,MATCH($C101,GP_EG_Sectors,0),12),0))))))))</f>
        <v/>
      </c>
      <c r="AA101" t="str">
        <f t="shared" ref="AA101:AA110" si="291">IF(OR($C101="",I101=""),"",IF(ISERROR(MATCH($C101,GP_OL_Sectors,0)),0,IF(I101&gt;=INDEX(GP_OL_T,MATCH($C101,GP_OL_Sectors,0),1),INDEX(GP_OL_T,MATCH($C101,GP_OL_Sectors,0),2),IF(I101&gt;=INDEX(GP_OL_T,MATCH($C101,GP_OL_Sectors,0),3),INDEX(GP_OL_T,MATCH($C101,GP_OL_Sectors,0),4),IF(I101&gt;=INDEX(GP_OL_T,MATCH($C101,GP_OL_Sectors,0),5),INDEX(GP_OL_T,MATCH($C101,GP_OL_Sectors,0),6),IF(I101&gt;=INDEX(GP_OL_T,MATCH($C101,GP_OL_Sectors,0),7),INDEX(GP_OL_T,MATCH($C101,GP_OL_Sectors,0),8),IF(I101&gt;=INDEX(GP_OL_T,MATCH($C101,GP_OL_Sectors,0),9),INDEX(GP_OL_T,MATCH($C101,GP_OL_Sectors,0),10),IF(I101&gt;=INDEX(GP_OL_T,MATCH($C101,GP_OL_Sectors,0),11),INDEX(GP_OL_T,MATCH($C101,GP_OL_Sectors,0),12),0))))))))</f>
        <v/>
      </c>
      <c r="AB101" t="str">
        <f t="shared" ref="AB101:AB110" si="292">IF(OR($C101="",J101=""),"",IF(ISERROR(MATCH($C101,GP_ND_Sectors,0)),0,IF(J101&lt;=INDEX(GP_ND_T,MATCH($C101,GP_ND_Sectors,0),1),INDEX(GP_ND_T,MATCH($C101,GP_ND_Sectors,0),2),IF(J101&lt;=INDEX(GP_ND_T,MATCH($C101,GP_ND_Sectors,0),3),INDEX(GP_ND_T,MATCH($C101,GP_ND_Sectors,0),4),IF(J101&lt;=INDEX(GP_ND_T,MATCH($C101,GP_ND_Sectors,0),5),INDEX(GP_ND_T,MATCH($C101,GP_ND_Sectors,0),6),IF(J101&lt;=INDEX(GP_ND_T,MATCH($C101,GP_ND_Sectors,0),7),INDEX(GP_ND_T,MATCH($C101,GP_ND_Sectors,0),8),IF(J101&lt;=INDEX(GP_ND_T,MATCH($C101,GP_ND_Sectors,0),9),INDEX(GP_ND_T,MATCH($C101,GP_ND_Sectors,0),10),IF(J101&lt;=INDEX(GP_ND_T,MATCH($C101,GP_ND_Sectors,0),11),INDEX(GP_ND_T,MATCH($C101,GP_ND_Sectors,0),12),0))))))))</f>
        <v/>
      </c>
      <c r="AC101" t="str">
        <f t="shared" ref="AC101:AC110" si="293">IF(OR($C101="",K101=""),"",IF(ISERROR(MATCH($C101,GP_CR_Sectors,0)),0,IF(K101&gt;=INDEX(GP_CR_T,MATCH($C101,GP_CR_Sectors,0),1),INDEX(GP_CR_T,MATCH($C101,GP_CR_Sectors,0),2),IF(K101&gt;=INDEX(GP_CR_T,MATCH($C101,GP_CR_Sectors,0),3),INDEX(GP_CR_T,MATCH($C101,GP_CR_Sectors,0),4),IF(K101&gt;=INDEX(GP_CR_T,MATCH($C101,GP_CR_Sectors,0),5),INDEX(GP_CR_T,MATCH($C101,GP_CR_Sectors,0),6),IF(K101&gt;=INDEX(GP_CR_T,MATCH($C101,GP_CR_Sectors,0),7),INDEX(GP_CR_T,MATCH($C101,GP_CR_Sectors,0),8),IF(K101&gt;=INDEX(GP_CR_T,MATCH($C101,GP_CR_Sectors,0),9),INDEX(GP_CR_T,MATCH($C101,GP_CR_Sectors,0),10),IF(K101&gt;=INDEX(GP_CR_T,MATCH($C101,GP_CR_Sectors,0),11),INDEX(GP_CR_T,MATCH($C101,GP_CR_Sectors,0),12),0))))))))</f>
        <v/>
      </c>
      <c r="AD101" t="str">
        <f t="shared" ref="AD101:AD110" si="294">IF(OR($C101="",L101=""),"",IF(ISERROR(MATCH($C101,GP_IC_Sectors,0)),0,IF(L101&gt;=INDEX(GP_IC_T,MATCH($C101,GP_IC_Sectors,0),1),INDEX(GP_IC_T,MATCH($C101,GP_IC_Sectors,0),2),IF(L101&gt;=INDEX(GP_IC_T,MATCH($C101,GP_IC_Sectors,0),3),INDEX(GP_IC_T,MATCH($C101,GP_IC_Sectors,0),4),IF(L101&gt;=INDEX(GP_IC_T,MATCH($C101,GP_IC_Sectors,0),5),INDEX(GP_IC_T,MATCH($C101,GP_IC_Sectors,0),6),IF(L101&gt;=INDEX(GP_IC_T,MATCH($C101,GP_IC_Sectors,0),7),INDEX(GP_IC_T,MATCH($C101,GP_IC_Sectors,0),8),IF(L101&gt;=INDEX(GP_IC_T,MATCH($C101,GP_IC_Sectors,0),9),INDEX(GP_IC_T,MATCH($C101,GP_IC_Sectors,0),10),IF(L101&gt;=INDEX(GP_IC_T,MATCH($C101,GP_IC_Sectors,0),11),INDEX(GP_IC_T,MATCH($C101,GP_IC_Sectors,0),12),0))))))))</f>
        <v/>
      </c>
      <c r="AE101" t="str">
        <f t="shared" ref="AE101:AE110" si="295">IF(OR($C101="",M101=""),"",IF(ISERROR(MATCH($C101,GP_FM_Sectors,0)),0,IF(M101&gt;=INDEX(GP_FM_T,MATCH($C101,GP_FM_Sectors,0),1),INDEX(GP_FM_T,MATCH($C101,GP_FM_Sectors,0),2),IF(M101&gt;=INDEX(GP_FM_T,MATCH($C101,GP_FM_Sectors,0),3),INDEX(GP_FM_T,MATCH($C101,GP_FM_Sectors,0),4),IF(M101&gt;=INDEX(GP_FM_T,MATCH($C101,GP_FM_Sectors,0),5),INDEX(GP_FM_T,MATCH($C101,GP_FM_Sectors,0),6),IF(M101&gt;=INDEX(GP_FM_T,MATCH($C101,GP_FM_Sectors,0),7),INDEX(GP_FM_T,MATCH($C101,GP_FM_Sectors,0),8),IF(M101&gt;=INDEX(GP_FM_T,MATCH($C101,GP_FM_Sectors,0),9),INDEX(GP_FM_T,MATCH($C101,GP_FM_Sectors,0),10),IF(M101&gt;=INDEX(GP_FM_T,MATCH($C101,GP_FM_Sectors,0),11),INDEX(GP_FM_T,MATCH($C101,GP_FM_Sectors,0),12),0))))))))</f>
        <v/>
      </c>
      <c r="AF101" t="str">
        <f t="shared" ref="AF101:AF110" si="296">IF(OR($C101="",N101=""),"",IF(ISERROR(MATCH($C101,GP_FN_Sectors,0)),0,IF(N101&gt;=INDEX(GP_FN_T,MATCH($C101,GP_FN_Sectors,0),1),INDEX(GP_FN_T,MATCH($C101,GP_FN_Sectors,0),2),IF(N101&gt;=INDEX(GP_FN_T,MATCH($C101,GP_FN_Sectors,0),3),INDEX(GP_FN_T,MATCH($C101,GP_FN_Sectors,0),4),IF(N101&gt;=INDEX(GP_FN_T,MATCH($C101,GP_FN_Sectors,0),5),INDEX(GP_FN_T,MATCH($C101,GP_FN_Sectors,0),6),IF(N101&gt;=INDEX(GP_FN_T,MATCH($C101,GP_FN_Sectors,0),7),INDEX(GP_FN_T,MATCH($C101,GP_FN_Sectors,0),8),IF(N101&gt;=INDEX(GP_FN_T,MATCH($C101,GP_FN_Sectors,0),9),INDEX(GP_FN_T,MATCH($C101,GP_FN_Sectors,0),10),IF(N101&gt;=INDEX(GP_FN_T,MATCH($C101,GP_FN_Sectors,0),11),INDEX(GP_FN_T,MATCH($C101,GP_FN_Sectors,0),12),0))))))))</f>
        <v/>
      </c>
      <c r="AG101" t="str">
        <f t="shared" ref="AG101:AG110" si="297">IF(OR($C101="",O101=""),"",IF(ISERROR(MATCH($C101,GP_CX_Sectors,0)),0,IF(O101&lt;=INDEX(GP_CX_T,MATCH($C101,GP_CX_Sectors,0),1),INDEX(GP_CX_T,MATCH($C101,GP_CX_Sectors,0),2),IF(O101&lt;=INDEX(GP_CX_T,MATCH($C101,GP_CX_Sectors,0),3),INDEX(GP_CX_T,MATCH($C101,GP_CX_Sectors,0),4),IF(O101&lt;=INDEX(GP_CX_T,MATCH($C101,GP_CX_Sectors,0),5),INDEX(GP_CX_T,MATCH($C101,GP_CX_Sectors,0),6),IF(O101&lt;=INDEX(GP_CX_T,MATCH($C101,GP_CX_Sectors,0),7),INDEX(GP_CX_T,MATCH($C101,GP_CX_Sectors,0),8),IF(O101&lt;=INDEX(GP_CX_T,MATCH($C101,GP_CX_Sectors,0),9),INDEX(GP_CX_T,MATCH($C101,GP_CX_Sectors,0),10),IF(O101&lt;=INDEX(GP_CX_T,MATCH($C101,GP_CX_Sectors,0),11),INDEX(GP_CX_T,MATCH($C101,GP_CX_Sectors,0),12),0))))))))</f>
        <v/>
      </c>
      <c r="AH101" t="str">
        <f t="shared" ref="AH101:AH110" si="298">IF(OR($C101="",P101=""),"",IF(ISERROR(MATCH($C101,GP_PE_Sectors,0)),0,IF(P101&lt;=INDEX(GP_PE_T,MATCH($C101,GP_PE_Sectors,0),1),INDEX(GP_PE_T,MATCH($C101,GP_PE_Sectors,0),2),IF(P101&lt;=INDEX(GP_PE_T,MATCH($C101,GP_PE_Sectors,0),3),INDEX(GP_PE_T,MATCH($C101,GP_PE_Sectors,0),4),IF(P101&lt;=INDEX(GP_PE_T,MATCH($C101,GP_PE_Sectors,0),5),INDEX(GP_PE_T,MATCH($C101,GP_PE_Sectors,0),6),IF(P101&lt;=INDEX(GP_PE_T,MATCH($C101,GP_PE_Sectors,0),7),INDEX(GP_PE_T,MATCH($C101,GP_PE_Sectors,0),8),IF(P101&lt;=INDEX(GP_PE_T,MATCH($C101,GP_PE_Sectors,0),9),INDEX(GP_PE_T,MATCH($C101,GP_PE_Sectors,0),10),IF(P101&lt;=INDEX(GP_PE_T,MATCH($C101,GP_PE_Sectors,0),11),INDEX(GP_PE_T,MATCH($C101,GP_PE_Sectors,0),12),0))))))))</f>
        <v/>
      </c>
      <c r="AI101" t="str">
        <f t="shared" ref="AI101:AI110" si="299">IF(OR($C101="",Q101=""),"",IF(ISERROR(MATCH($C101,GP_EV_Sectors,0)),0,IF(Q101&lt;=INDEX(GP_EV_T,MATCH($C101,GP_EV_Sectors,0),1),INDEX(GP_EV_T,MATCH($C101,GP_EV_Sectors,0),2),IF(Q101&lt;=INDEX(GP_EV_T,MATCH($C101,GP_EV_Sectors,0),3),INDEX(GP_EV_T,MATCH($C101,GP_EV_Sectors,0),4),IF(Q101&lt;=INDEX(GP_EV_T,MATCH($C101,GP_EV_Sectors,0),5),INDEX(GP_EV_T,MATCH($C101,GP_EV_Sectors,0),6),IF(Q101&lt;=INDEX(GP_EV_T,MATCH($C101,GP_EV_Sectors,0),7),INDEX(GP_EV_T,MATCH($C101,GP_EV_Sectors,0),8),IF(Q101&lt;=INDEX(GP_EV_T,MATCH($C101,GP_EV_Sectors,0),9),INDEX(GP_EV_T,MATCH($C101,GP_EV_Sectors,0),10),IF(Q101&lt;=INDEX(GP_EV_T,MATCH($C101,GP_EV_Sectors,0),11),INDEX(GP_EV_T,MATCH($C101,GP_EV_Sectors,0),12),0))))))))</f>
        <v/>
      </c>
      <c r="AJ101" t="str">
        <f t="shared" ref="AJ101:AJ110" si="300">IF(OR($C101="",R101=""),"",IF(ISERROR(MATCH($C101,GP_PF_Sectors,0)),0,IF(R101&lt;=INDEX(GP_PF_T,MATCH($C101,GP_PF_Sectors,0),1),INDEX(GP_PF_T,MATCH($C101,GP_PF_Sectors,0),2),IF(R101&lt;=INDEX(GP_PF_T,MATCH($C101,GP_PF_Sectors,0),3),INDEX(GP_PF_T,MATCH($C101,GP_PF_Sectors,0),4),IF(R101&lt;=INDEX(GP_PF_T,MATCH($C101,GP_PF_Sectors,0),5),INDEX(GP_PF_T,MATCH($C101,GP_PF_Sectors,0),6),IF(R101&lt;=INDEX(GP_PF_T,MATCH($C101,GP_PF_Sectors,0),7),INDEX(GP_PF_T,MATCH($C101,GP_PF_Sectors,0),8),IF(R101&lt;=INDEX(GP_PF_T,MATCH($C101,GP_PF_Sectors,0),9),INDEX(GP_PF_T,MATCH($C101,GP_PF_Sectors,0),10),IF(R101&lt;=INDEX(GP_PF_T,MATCH($C101,GP_PF_Sectors,0),11),INDEX(GP_PF_T,MATCH($C101,GP_PF_Sectors,0),12),0))))))))</f>
        <v/>
      </c>
      <c r="AK101" t="str">
        <f t="shared" ref="AK101:AK110" si="301">IF(OR($C101="",S101=""),"",IF(ISERROR(MATCH($C101,GP_DY_Sectors,0)),0,IF(S101&gt;=INDEX(GP_DY_T,MATCH($C101,GP_DY_Sectors,0),1),INDEX(GP_DY_T,MATCH($C101,GP_DY_Sectors,0),2),IF(S101&gt;=INDEX(GP_DY_T,MATCH($C101,GP_DY_Sectors,0),3),INDEX(GP_DY_T,MATCH($C101,GP_DY_Sectors,0),4),IF(S101&gt;=INDEX(GP_DY_T,MATCH($C101,GP_DY_Sectors,0),5),INDEX(GP_DY_T,MATCH($C101,GP_DY_Sectors,0),6),IF(S101&gt;=INDEX(GP_DY_T,MATCH($C101,GP_DY_Sectors,0),7),INDEX(GP_DY_T,MATCH($C101,GP_DY_Sectors,0),8),IF(S101&gt;=INDEX(GP_DY_T,MATCH($C101,GP_DY_Sectors,0),9),INDEX(GP_DY_T,MATCH($C101,GP_DY_Sectors,0),10),IF(S101&gt;=INDEX(GP_DY_T,MATCH($C101,GP_DY_Sectors,0),11),INDEX(GP_DY_T,MATCH($C101,GP_DY_Sectors,0),12),0))))))))</f>
        <v/>
      </c>
      <c r="AL101" t="str">
        <f t="shared" ref="AL101:AL110" si="302">IF(OR($C101="",T101=""),"",IF(ISERROR(MATCH($C101,GP_PR_Sectors,0)),0,IF(T101&gt;=INDEX(GP_PR_T,MATCH($C101,GP_PR_Sectors,0),1),INDEX(GP_PR_T,MATCH($C101,GP_PR_Sectors,0),2),IF(T101&gt;=INDEX(GP_PR_T,MATCH($C101,GP_PR_Sectors,0),3),INDEX(GP_PR_T,MATCH($C101,GP_PR_Sectors,0),4),IF(T101&gt;=INDEX(GP_PR_T,MATCH($C101,GP_PR_Sectors,0),5),INDEX(GP_PR_T,MATCH($C101,GP_PR_Sectors,0),6),IF(T101&gt;=INDEX(GP_PR_T,MATCH($C101,GP_PR_Sectors,0),7),INDEX(GP_PR_T,MATCH($C101,GP_PR_Sectors,0),8),IF(T101&gt;=INDEX(GP_PR_T,MATCH($C101,GP_PR_Sectors,0),9),INDEX(GP_PR_T,MATCH($C101,GP_PR_Sectors,0),10),IF(T101&gt;=INDEX(GP_PR_T,MATCH($C101,GP_PR_Sectors,0),11),INDEX(GP_PR_T,MATCH($C101,GP_PR_Sectors,0),12),0))))))))</f>
        <v/>
      </c>
      <c r="AM101" t="str">
        <f t="shared" ref="AM101:AM110" si="303">IF(OR($C101="",U101=""),"",IF(ISERROR(MATCH($C101,GP_BY_Sectors,0)),0,IF(U101&gt;=INDEX(GP_BY_T,MATCH($C101,GP_BY_Sectors,0),1),INDEX(GP_BY_T,MATCH($C101,GP_BY_Sectors,0),2),IF(U101&gt;=INDEX(GP_BY_T,MATCH($C101,GP_BY_Sectors,0),3),INDEX(GP_BY_T,MATCH($C101,GP_BY_Sectors,0),4),IF(U101&gt;=INDEX(GP_BY_T,MATCH($C101,GP_BY_Sectors,0),5),INDEX(GP_BY_T,MATCH($C101,GP_BY_Sectors,0),6),IF(U101&gt;=INDEX(GP_BY_T,MATCH($C101,GP_BY_Sectors,0),7),INDEX(GP_BY_T,MATCH($C101,GP_BY_Sectors,0),8),IF(U101&gt;=INDEX(GP_BY_T,MATCH($C101,GP_BY_Sectors,0),9),INDEX(GP_BY_T,MATCH($C101,GP_BY_Sectors,0),10),IF(U101&gt;=INDEX(GP_BY_T,MATCH($C101,GP_BY_Sectors,0),11),INDEX(GP_BY_T,MATCH($C101,GP_BY_Sectors,0),12),0))))))))</f>
        <v/>
      </c>
      <c r="AN101" t="str">
        <f t="shared" ref="AN101:AN110" si="304">IF($C101="","",V101*0.35+W101*0.35+X101*0.3)</f>
        <v/>
      </c>
      <c r="AO101" t="str">
        <f t="shared" ref="AO101:AO110" si="305">IF($C101="","",Y101*0.4+Z101*0.35+AA101*0.25)</f>
        <v/>
      </c>
      <c r="AP101" t="str">
        <f t="shared" ref="AP101:AP110" si="306">IF($C101="","",AB101*0.35+AC101*0.3+AD101*0.35)</f>
        <v/>
      </c>
      <c r="AQ101" t="str">
        <f t="shared" ref="AQ101:AQ110" si="307">IF($C101="","",AE101*0.4+AF101*0.35+AG101*0.25)</f>
        <v/>
      </c>
      <c r="AR101" t="str">
        <f t="shared" ref="AR101:AR110" si="308">IF($C101="","",AH101*0.3+AI101*0.3+AJ101*0.25+AK101*0.15)</f>
        <v/>
      </c>
      <c r="AS101" t="str">
        <f t="shared" ref="AS101:AS110" si="309">IF($C101="","",AK101*0.4+AL101*0.3+AM101*0.3)</f>
        <v/>
      </c>
      <c r="AT101" t="str">
        <f t="shared" ref="AT101:AT106" si="310">IF($C101="","",MIN(100,MAX(0,ROUND(AN101*INDEX(GP_W_P1,MATCH($C101,GP_Weights_Sectors,0))+AO101*INDEX(GP_W_P2,MATCH($C101,GP_Weights_Sectors,0))+AP101*INDEX(GP_W_P3,MATCH($C101,GP_Weights_Sectors,0))+AQ101*INDEX(GP_W_P4,MATCH($C101,GP_Weights_Sectors,0))+AR101*INDEX(GP_W_P5,MATCH($C101,GP_Weights_Sectors,0))+AS101*INDEX(GP_W_P6,MATCH($C101,GP_Weights_Sectors,0)),0))))</f>
        <v/>
      </c>
      <c r="AY101" s="59"/>
      <c r="BB101" s="58" t="str">
        <f t="shared" si="246"/>
        <v/>
      </c>
    </row>
    <row r="102" spans="1:65" x14ac:dyDescent="0.4">
      <c r="V102" t="str">
        <f t="shared" si="286"/>
        <v/>
      </c>
      <c r="W102" t="str">
        <f t="shared" si="287"/>
        <v/>
      </c>
      <c r="X102" t="str">
        <f t="shared" si="288"/>
        <v/>
      </c>
      <c r="Y102" t="str">
        <f t="shared" si="289"/>
        <v/>
      </c>
      <c r="Z102" t="str">
        <f t="shared" si="290"/>
        <v/>
      </c>
      <c r="AA102" t="str">
        <f t="shared" si="291"/>
        <v/>
      </c>
      <c r="AB102" t="str">
        <f t="shared" si="292"/>
        <v/>
      </c>
      <c r="AC102" t="str">
        <f t="shared" si="293"/>
        <v/>
      </c>
      <c r="AD102" t="str">
        <f t="shared" si="294"/>
        <v/>
      </c>
      <c r="AE102" t="str">
        <f t="shared" si="295"/>
        <v/>
      </c>
      <c r="AF102" t="str">
        <f t="shared" si="296"/>
        <v/>
      </c>
      <c r="AG102" t="str">
        <f t="shared" si="297"/>
        <v/>
      </c>
      <c r="AH102" t="str">
        <f t="shared" si="298"/>
        <v/>
      </c>
      <c r="AI102" t="str">
        <f t="shared" si="299"/>
        <v/>
      </c>
      <c r="AJ102" t="str">
        <f t="shared" si="300"/>
        <v/>
      </c>
      <c r="AK102" t="str">
        <f t="shared" si="301"/>
        <v/>
      </c>
      <c r="AL102" t="str">
        <f t="shared" si="302"/>
        <v/>
      </c>
      <c r="AM102" t="str">
        <f t="shared" si="303"/>
        <v/>
      </c>
      <c r="AN102" t="str">
        <f t="shared" si="304"/>
        <v/>
      </c>
      <c r="AO102" t="str">
        <f t="shared" si="305"/>
        <v/>
      </c>
      <c r="AP102" t="str">
        <f t="shared" si="306"/>
        <v/>
      </c>
      <c r="AQ102" t="str">
        <f t="shared" si="307"/>
        <v/>
      </c>
      <c r="AR102" t="str">
        <f t="shared" si="308"/>
        <v/>
      </c>
      <c r="AS102" t="str">
        <f t="shared" si="309"/>
        <v/>
      </c>
      <c r="AT102" t="str">
        <f t="shared" si="310"/>
        <v/>
      </c>
      <c r="AY102" s="59"/>
      <c r="BB102" s="58" t="str">
        <f t="shared" si="246"/>
        <v/>
      </c>
    </row>
    <row r="103" spans="1:65" x14ac:dyDescent="0.4">
      <c r="V103" t="str">
        <f t="shared" si="286"/>
        <v/>
      </c>
      <c r="W103" t="str">
        <f t="shared" si="287"/>
        <v/>
      </c>
      <c r="X103" t="str">
        <f t="shared" si="288"/>
        <v/>
      </c>
      <c r="Y103" t="str">
        <f t="shared" si="289"/>
        <v/>
      </c>
      <c r="Z103" t="str">
        <f t="shared" si="290"/>
        <v/>
      </c>
      <c r="AA103" t="str">
        <f t="shared" si="291"/>
        <v/>
      </c>
      <c r="AB103" t="str">
        <f t="shared" si="292"/>
        <v/>
      </c>
      <c r="AC103" t="str">
        <f t="shared" si="293"/>
        <v/>
      </c>
      <c r="AD103" t="str">
        <f t="shared" si="294"/>
        <v/>
      </c>
      <c r="AE103" t="str">
        <f t="shared" si="295"/>
        <v/>
      </c>
      <c r="AF103" t="str">
        <f t="shared" si="296"/>
        <v/>
      </c>
      <c r="AG103" t="str">
        <f t="shared" si="297"/>
        <v/>
      </c>
      <c r="AH103" t="str">
        <f t="shared" si="298"/>
        <v/>
      </c>
      <c r="AI103" t="str">
        <f t="shared" si="299"/>
        <v/>
      </c>
      <c r="AJ103" t="str">
        <f t="shared" si="300"/>
        <v/>
      </c>
      <c r="AK103" t="str">
        <f t="shared" si="301"/>
        <v/>
      </c>
      <c r="AL103" t="str">
        <f t="shared" si="302"/>
        <v/>
      </c>
      <c r="AM103" t="str">
        <f t="shared" si="303"/>
        <v/>
      </c>
      <c r="AN103" t="str">
        <f t="shared" si="304"/>
        <v/>
      </c>
      <c r="AO103" t="str">
        <f t="shared" si="305"/>
        <v/>
      </c>
      <c r="AP103" t="str">
        <f t="shared" si="306"/>
        <v/>
      </c>
      <c r="AQ103" t="str">
        <f t="shared" si="307"/>
        <v/>
      </c>
      <c r="AR103" t="str">
        <f t="shared" si="308"/>
        <v/>
      </c>
      <c r="AS103" t="str">
        <f t="shared" si="309"/>
        <v/>
      </c>
      <c r="AT103" t="str">
        <f t="shared" si="310"/>
        <v/>
      </c>
      <c r="AY103" s="59"/>
      <c r="BB103" s="58" t="str">
        <f t="shared" si="246"/>
        <v/>
      </c>
    </row>
    <row r="104" spans="1:65" x14ac:dyDescent="0.4">
      <c r="V104" t="str">
        <f t="shared" si="286"/>
        <v/>
      </c>
      <c r="W104" t="str">
        <f t="shared" si="287"/>
        <v/>
      </c>
      <c r="X104" t="str">
        <f t="shared" si="288"/>
        <v/>
      </c>
      <c r="Y104" t="str">
        <f t="shared" si="289"/>
        <v/>
      </c>
      <c r="Z104" t="str">
        <f t="shared" si="290"/>
        <v/>
      </c>
      <c r="AA104" t="str">
        <f t="shared" si="291"/>
        <v/>
      </c>
      <c r="AB104" t="str">
        <f t="shared" si="292"/>
        <v/>
      </c>
      <c r="AC104" t="str">
        <f t="shared" si="293"/>
        <v/>
      </c>
      <c r="AD104" t="str">
        <f t="shared" si="294"/>
        <v/>
      </c>
      <c r="AE104" t="str">
        <f t="shared" si="295"/>
        <v/>
      </c>
      <c r="AF104" t="str">
        <f t="shared" si="296"/>
        <v/>
      </c>
      <c r="AG104" t="str">
        <f t="shared" si="297"/>
        <v/>
      </c>
      <c r="AH104" t="str">
        <f t="shared" si="298"/>
        <v/>
      </c>
      <c r="AI104" t="str">
        <f t="shared" si="299"/>
        <v/>
      </c>
      <c r="AJ104" t="str">
        <f t="shared" si="300"/>
        <v/>
      </c>
      <c r="AK104" t="str">
        <f t="shared" si="301"/>
        <v/>
      </c>
      <c r="AL104" t="str">
        <f t="shared" si="302"/>
        <v/>
      </c>
      <c r="AM104" t="str">
        <f t="shared" si="303"/>
        <v/>
      </c>
      <c r="AN104" t="str">
        <f t="shared" si="304"/>
        <v/>
      </c>
      <c r="AO104" t="str">
        <f t="shared" si="305"/>
        <v/>
      </c>
      <c r="AP104" t="str">
        <f t="shared" si="306"/>
        <v/>
      </c>
      <c r="AQ104" t="str">
        <f t="shared" si="307"/>
        <v/>
      </c>
      <c r="AR104" t="str">
        <f t="shared" si="308"/>
        <v/>
      </c>
      <c r="AS104" t="str">
        <f t="shared" si="309"/>
        <v/>
      </c>
      <c r="AT104" t="str">
        <f t="shared" si="310"/>
        <v/>
      </c>
      <c r="AY104" s="59"/>
      <c r="BB104" s="58" t="str">
        <f t="shared" si="246"/>
        <v/>
      </c>
    </row>
    <row r="105" spans="1:65" x14ac:dyDescent="0.4">
      <c r="V105" t="str">
        <f t="shared" si="286"/>
        <v/>
      </c>
      <c r="W105" t="str">
        <f t="shared" si="287"/>
        <v/>
      </c>
      <c r="X105" t="str">
        <f t="shared" si="288"/>
        <v/>
      </c>
      <c r="Y105" t="str">
        <f t="shared" si="289"/>
        <v/>
      </c>
      <c r="Z105" t="str">
        <f t="shared" si="290"/>
        <v/>
      </c>
      <c r="AA105" t="str">
        <f t="shared" si="291"/>
        <v/>
      </c>
      <c r="AB105" t="str">
        <f t="shared" si="292"/>
        <v/>
      </c>
      <c r="AC105" t="str">
        <f t="shared" si="293"/>
        <v/>
      </c>
      <c r="AD105" t="str">
        <f t="shared" si="294"/>
        <v/>
      </c>
      <c r="AE105" t="str">
        <f t="shared" si="295"/>
        <v/>
      </c>
      <c r="AF105" t="str">
        <f t="shared" si="296"/>
        <v/>
      </c>
      <c r="AG105" t="str">
        <f t="shared" si="297"/>
        <v/>
      </c>
      <c r="AH105" t="str">
        <f t="shared" si="298"/>
        <v/>
      </c>
      <c r="AI105" t="str">
        <f t="shared" si="299"/>
        <v/>
      </c>
      <c r="AJ105" t="str">
        <f t="shared" si="300"/>
        <v/>
      </c>
      <c r="AK105" t="str">
        <f t="shared" si="301"/>
        <v/>
      </c>
      <c r="AL105" t="str">
        <f t="shared" si="302"/>
        <v/>
      </c>
      <c r="AM105" t="str">
        <f t="shared" si="303"/>
        <v/>
      </c>
      <c r="AN105" t="str">
        <f t="shared" si="304"/>
        <v/>
      </c>
      <c r="AO105" t="str">
        <f t="shared" si="305"/>
        <v/>
      </c>
      <c r="AP105" t="str">
        <f t="shared" si="306"/>
        <v/>
      </c>
      <c r="AQ105" t="str">
        <f t="shared" si="307"/>
        <v/>
      </c>
      <c r="AR105" t="str">
        <f t="shared" si="308"/>
        <v/>
      </c>
      <c r="AS105" t="str">
        <f t="shared" si="309"/>
        <v/>
      </c>
      <c r="AT105" t="str">
        <f t="shared" si="310"/>
        <v/>
      </c>
      <c r="AY105" s="59"/>
      <c r="BB105" s="58" t="str">
        <f t="shared" si="246"/>
        <v/>
      </c>
    </row>
    <row r="106" spans="1:65" x14ac:dyDescent="0.4">
      <c r="V106" t="str">
        <f t="shared" si="286"/>
        <v/>
      </c>
      <c r="W106" t="str">
        <f t="shared" si="287"/>
        <v/>
      </c>
      <c r="X106" t="str">
        <f t="shared" si="288"/>
        <v/>
      </c>
      <c r="Y106" t="str">
        <f t="shared" si="289"/>
        <v/>
      </c>
      <c r="Z106" t="str">
        <f t="shared" si="290"/>
        <v/>
      </c>
      <c r="AA106" t="str">
        <f t="shared" si="291"/>
        <v/>
      </c>
      <c r="AB106" t="str">
        <f t="shared" si="292"/>
        <v/>
      </c>
      <c r="AC106" t="str">
        <f t="shared" si="293"/>
        <v/>
      </c>
      <c r="AD106" t="str">
        <f t="shared" si="294"/>
        <v/>
      </c>
      <c r="AE106" t="str">
        <f t="shared" si="295"/>
        <v/>
      </c>
      <c r="AF106" t="str">
        <f t="shared" si="296"/>
        <v/>
      </c>
      <c r="AG106" t="str">
        <f t="shared" si="297"/>
        <v/>
      </c>
      <c r="AH106" t="str">
        <f t="shared" si="298"/>
        <v/>
      </c>
      <c r="AI106" t="str">
        <f t="shared" si="299"/>
        <v/>
      </c>
      <c r="AJ106" t="str">
        <f t="shared" si="300"/>
        <v/>
      </c>
      <c r="AK106" t="str">
        <f t="shared" si="301"/>
        <v/>
      </c>
      <c r="AL106" t="str">
        <f t="shared" si="302"/>
        <v/>
      </c>
      <c r="AM106" t="str">
        <f t="shared" si="303"/>
        <v/>
      </c>
      <c r="AN106" t="str">
        <f t="shared" si="304"/>
        <v/>
      </c>
      <c r="AO106" t="str">
        <f t="shared" si="305"/>
        <v/>
      </c>
      <c r="AP106" t="str">
        <f t="shared" si="306"/>
        <v/>
      </c>
      <c r="AQ106" t="str">
        <f t="shared" si="307"/>
        <v/>
      </c>
      <c r="AR106" t="str">
        <f t="shared" si="308"/>
        <v/>
      </c>
      <c r="AS106" t="str">
        <f t="shared" si="309"/>
        <v/>
      </c>
      <c r="AT106" t="str">
        <f t="shared" si="310"/>
        <v/>
      </c>
      <c r="AY106" s="59"/>
      <c r="BB106" s="58" t="str">
        <f t="shared" si="246"/>
        <v/>
      </c>
    </row>
    <row r="107" spans="1:65" x14ac:dyDescent="0.4">
      <c r="V107" t="str">
        <f t="shared" si="286"/>
        <v/>
      </c>
      <c r="W107" t="str">
        <f t="shared" si="287"/>
        <v/>
      </c>
      <c r="X107" t="str">
        <f t="shared" si="288"/>
        <v/>
      </c>
      <c r="Y107" t="str">
        <f t="shared" si="289"/>
        <v/>
      </c>
      <c r="Z107" t="str">
        <f t="shared" si="290"/>
        <v/>
      </c>
      <c r="AA107" t="str">
        <f t="shared" si="291"/>
        <v/>
      </c>
      <c r="AB107" t="str">
        <f t="shared" si="292"/>
        <v/>
      </c>
      <c r="AC107" t="str">
        <f t="shared" si="293"/>
        <v/>
      </c>
      <c r="AD107" t="str">
        <f t="shared" si="294"/>
        <v/>
      </c>
      <c r="AE107" t="str">
        <f t="shared" si="295"/>
        <v/>
      </c>
      <c r="AF107" t="str">
        <f t="shared" si="296"/>
        <v/>
      </c>
      <c r="AG107" t="str">
        <f t="shared" si="297"/>
        <v/>
      </c>
      <c r="AH107" t="str">
        <f t="shared" si="298"/>
        <v/>
      </c>
      <c r="AI107" t="str">
        <f t="shared" si="299"/>
        <v/>
      </c>
      <c r="AJ107" t="str">
        <f t="shared" si="300"/>
        <v/>
      </c>
      <c r="AK107" t="str">
        <f t="shared" si="301"/>
        <v/>
      </c>
      <c r="AL107" t="str">
        <f t="shared" si="302"/>
        <v/>
      </c>
      <c r="AM107" t="str">
        <f t="shared" si="303"/>
        <v/>
      </c>
      <c r="AN107" t="str">
        <f t="shared" si="304"/>
        <v/>
      </c>
      <c r="AO107" t="str">
        <f t="shared" si="305"/>
        <v/>
      </c>
      <c r="AP107" t="str">
        <f t="shared" si="306"/>
        <v/>
      </c>
      <c r="AQ107" t="str">
        <f t="shared" si="307"/>
        <v/>
      </c>
      <c r="AR107" t="str">
        <f t="shared" si="308"/>
        <v/>
      </c>
      <c r="AS107" t="str">
        <f t="shared" si="309"/>
        <v/>
      </c>
      <c r="AT107" t="str">
        <f t="shared" ref="AT107:AT110" si="311">IF($C107="","",MIN(100,MAX(0,ROUND(AN107*INDEX(GP_W_P1,MATCH($C107,GP_Weights_Sectors,0))+AO107*INDEX(GP_W_P2,MATCH($C107,GP_Weights_Sectors,0))+AP107*INDEX(GP_W_P3,MATCH($C107,GP_Weights_Sectors,0))+AQ107*INDEX(GP_W_P4,MATCH($C107,GP_Weights_Sectors,0))+AR107*INDEX(GP_W_P5,MATCH($C107,GP_Weights_Sectors,0))+AS107*INDEX(GP_W_P6,MATCH($C107,GP_Weights_Sectors,0)),0))))</f>
        <v/>
      </c>
      <c r="AY107" s="59"/>
      <c r="BB107" s="58" t="str">
        <f t="shared" si="246"/>
        <v/>
      </c>
    </row>
    <row r="108" spans="1:65" x14ac:dyDescent="0.4">
      <c r="V108" t="str">
        <f t="shared" si="286"/>
        <v/>
      </c>
      <c r="W108" t="str">
        <f t="shared" si="287"/>
        <v/>
      </c>
      <c r="X108" t="str">
        <f t="shared" si="288"/>
        <v/>
      </c>
      <c r="Y108" t="str">
        <f t="shared" si="289"/>
        <v/>
      </c>
      <c r="Z108" t="str">
        <f t="shared" si="290"/>
        <v/>
      </c>
      <c r="AA108" t="str">
        <f t="shared" si="291"/>
        <v/>
      </c>
      <c r="AB108" t="str">
        <f t="shared" si="292"/>
        <v/>
      </c>
      <c r="AC108" t="str">
        <f t="shared" si="293"/>
        <v/>
      </c>
      <c r="AD108" t="str">
        <f t="shared" si="294"/>
        <v/>
      </c>
      <c r="AE108" t="str">
        <f t="shared" si="295"/>
        <v/>
      </c>
      <c r="AF108" t="str">
        <f t="shared" si="296"/>
        <v/>
      </c>
      <c r="AG108" t="str">
        <f t="shared" si="297"/>
        <v/>
      </c>
      <c r="AH108" t="str">
        <f t="shared" si="298"/>
        <v/>
      </c>
      <c r="AI108" t="str">
        <f t="shared" si="299"/>
        <v/>
      </c>
      <c r="AJ108" t="str">
        <f t="shared" si="300"/>
        <v/>
      </c>
      <c r="AK108" t="str">
        <f t="shared" si="301"/>
        <v/>
      </c>
      <c r="AL108" t="str">
        <f t="shared" si="302"/>
        <v/>
      </c>
      <c r="AM108" t="str">
        <f t="shared" si="303"/>
        <v/>
      </c>
      <c r="AN108" t="str">
        <f t="shared" si="304"/>
        <v/>
      </c>
      <c r="AO108" t="str">
        <f t="shared" si="305"/>
        <v/>
      </c>
      <c r="AP108" t="str">
        <f t="shared" si="306"/>
        <v/>
      </c>
      <c r="AQ108" t="str">
        <f t="shared" si="307"/>
        <v/>
      </c>
      <c r="AR108" t="str">
        <f t="shared" si="308"/>
        <v/>
      </c>
      <c r="AS108" t="str">
        <f t="shared" si="309"/>
        <v/>
      </c>
      <c r="AT108" t="str">
        <f t="shared" si="311"/>
        <v/>
      </c>
      <c r="AY108" s="59"/>
      <c r="BB108" s="58" t="str">
        <f t="shared" si="246"/>
        <v/>
      </c>
    </row>
    <row r="109" spans="1:65" x14ac:dyDescent="0.4">
      <c r="V109" t="str">
        <f t="shared" si="286"/>
        <v/>
      </c>
      <c r="W109" t="str">
        <f t="shared" si="287"/>
        <v/>
      </c>
      <c r="X109" t="str">
        <f t="shared" si="288"/>
        <v/>
      </c>
      <c r="Y109" t="str">
        <f t="shared" si="289"/>
        <v/>
      </c>
      <c r="Z109" t="str">
        <f t="shared" si="290"/>
        <v/>
      </c>
      <c r="AA109" t="str">
        <f t="shared" si="291"/>
        <v/>
      </c>
      <c r="AB109" t="str">
        <f t="shared" si="292"/>
        <v/>
      </c>
      <c r="AC109" t="str">
        <f t="shared" si="293"/>
        <v/>
      </c>
      <c r="AD109" t="str">
        <f t="shared" si="294"/>
        <v/>
      </c>
      <c r="AE109" t="str">
        <f t="shared" si="295"/>
        <v/>
      </c>
      <c r="AF109" t="str">
        <f t="shared" si="296"/>
        <v/>
      </c>
      <c r="AG109" t="str">
        <f t="shared" si="297"/>
        <v/>
      </c>
      <c r="AH109" t="str">
        <f t="shared" si="298"/>
        <v/>
      </c>
      <c r="AI109" t="str">
        <f t="shared" si="299"/>
        <v/>
      </c>
      <c r="AJ109" t="str">
        <f t="shared" si="300"/>
        <v/>
      </c>
      <c r="AK109" t="str">
        <f t="shared" si="301"/>
        <v/>
      </c>
      <c r="AL109" t="str">
        <f t="shared" si="302"/>
        <v/>
      </c>
      <c r="AM109" t="str">
        <f t="shared" si="303"/>
        <v/>
      </c>
      <c r="AN109" t="str">
        <f t="shared" si="304"/>
        <v/>
      </c>
      <c r="AO109" t="str">
        <f t="shared" si="305"/>
        <v/>
      </c>
      <c r="AP109" t="str">
        <f t="shared" si="306"/>
        <v/>
      </c>
      <c r="AQ109" t="str">
        <f t="shared" si="307"/>
        <v/>
      </c>
      <c r="AR109" t="str">
        <f t="shared" si="308"/>
        <v/>
      </c>
      <c r="AS109" t="str">
        <f t="shared" si="309"/>
        <v/>
      </c>
      <c r="AT109" t="str">
        <f t="shared" si="311"/>
        <v/>
      </c>
      <c r="AY109" s="59"/>
      <c r="BB109" s="58" t="str">
        <f t="shared" si="246"/>
        <v/>
      </c>
    </row>
    <row r="110" spans="1:65" x14ac:dyDescent="0.4">
      <c r="V110" t="str">
        <f t="shared" si="286"/>
        <v/>
      </c>
      <c r="W110" t="str">
        <f t="shared" si="287"/>
        <v/>
      </c>
      <c r="X110" t="str">
        <f t="shared" si="288"/>
        <v/>
      </c>
      <c r="Y110" t="str">
        <f t="shared" si="289"/>
        <v/>
      </c>
      <c r="Z110" t="str">
        <f t="shared" si="290"/>
        <v/>
      </c>
      <c r="AA110" t="str">
        <f t="shared" si="291"/>
        <v/>
      </c>
      <c r="AB110" t="str">
        <f t="shared" si="292"/>
        <v/>
      </c>
      <c r="AC110" t="str">
        <f t="shared" si="293"/>
        <v/>
      </c>
      <c r="AD110" t="str">
        <f t="shared" si="294"/>
        <v/>
      </c>
      <c r="AE110" t="str">
        <f t="shared" si="295"/>
        <v/>
      </c>
      <c r="AF110" t="str">
        <f t="shared" si="296"/>
        <v/>
      </c>
      <c r="AG110" t="str">
        <f t="shared" si="297"/>
        <v/>
      </c>
      <c r="AH110" t="str">
        <f t="shared" si="298"/>
        <v/>
      </c>
      <c r="AI110" t="str">
        <f t="shared" si="299"/>
        <v/>
      </c>
      <c r="AJ110" t="str">
        <f t="shared" si="300"/>
        <v/>
      </c>
      <c r="AK110" t="str">
        <f t="shared" si="301"/>
        <v/>
      </c>
      <c r="AL110" t="str">
        <f t="shared" si="302"/>
        <v/>
      </c>
      <c r="AM110" t="str">
        <f t="shared" si="303"/>
        <v/>
      </c>
      <c r="AN110" t="str">
        <f t="shared" si="304"/>
        <v/>
      </c>
      <c r="AO110" t="str">
        <f t="shared" si="305"/>
        <v/>
      </c>
      <c r="AP110" t="str">
        <f t="shared" si="306"/>
        <v/>
      </c>
      <c r="AQ110" t="str">
        <f t="shared" si="307"/>
        <v/>
      </c>
      <c r="AR110" t="str">
        <f t="shared" si="308"/>
        <v/>
      </c>
      <c r="AS110" t="str">
        <f t="shared" si="309"/>
        <v/>
      </c>
      <c r="AT110" t="str">
        <f t="shared" si="311"/>
        <v/>
      </c>
      <c r="AY110" s="59"/>
      <c r="BB110" s="58" t="str">
        <f t="shared" si="246"/>
        <v/>
      </c>
    </row>
  </sheetData>
  <mergeCells count="6">
    <mergeCell ref="BG2:BH2"/>
    <mergeCell ref="BK2:BM2"/>
    <mergeCell ref="A1:B1"/>
    <mergeCell ref="AN1:AO1"/>
    <mergeCell ref="V1:X1"/>
    <mergeCell ref="AU1:AW1"/>
  </mergeCells>
  <conditionalFormatting sqref="BM4:BM110">
    <cfRule type="containsText" dxfId="14" priority="1" operator="containsText" text="STRONG BUY">
      <formula>NOT(ISERROR(SEARCH("STRONG BUY",BM4)))</formula>
    </cfRule>
    <cfRule type="containsText" dxfId="13" priority="2" operator="containsText" text="BUY">
      <formula>NOT(ISERROR(SEARCH("BUY",BM4)))</formula>
    </cfRule>
    <cfRule type="containsText" dxfId="12" priority="3" operator="containsText" text="HOLD">
      <formula>NOT(ISERROR(SEARCH("HOLD",BM4)))</formula>
    </cfRule>
    <cfRule type="containsText" dxfId="11" priority="4" operator="containsText" text="UNDERWEIGHT">
      <formula>NOT(ISERROR(SEARCH("UNDERWEIGHT",BM4)))</formula>
    </cfRule>
    <cfRule type="containsText" dxfId="10" priority="5" operator="containsText" text="SELL">
      <formula>NOT(ISERROR(SEARCH("SELL",BM4)))</formula>
    </cfRule>
  </conditionalFormatting>
  <dataValidations count="1">
    <dataValidation type="list" allowBlank="1" showInputMessage="1" showErrorMessage="1" sqref="B4:B28 C29:C64 C67:C110" xr:uid="{CE10C99D-5101-4EE1-BA49-9BE94B5D31D9}">
      <formula1>"Information Technology,Health Care,Financials,Consumer Discretionary,Communication Services,Industrials,Consumer Staples,Energy,Materials,Utilities,Real Estate"</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18C3D-1AFB-4C42-8205-5312B136F464}">
  <sheetPr>
    <tabColor rgb="FFFFC000"/>
  </sheetPr>
  <dimension ref="A1:M87"/>
  <sheetViews>
    <sheetView topLeftCell="A49" workbookViewId="0">
      <pane xSplit="1" topLeftCell="H1" activePane="topRight" state="frozen"/>
      <selection pane="topRight" activeCell="H64" sqref="H64"/>
    </sheetView>
  </sheetViews>
  <sheetFormatPr baseColWidth="10" defaultRowHeight="14.6" outlineLevelRow="1" x14ac:dyDescent="0.4"/>
  <cols>
    <col min="1" max="1" width="83.61328125" bestFit="1" customWidth="1"/>
    <col min="2" max="2" width="23.3046875" customWidth="1"/>
    <col min="3" max="6" width="11.15234375" customWidth="1"/>
    <col min="7" max="8" width="17.921875" customWidth="1"/>
    <col min="9" max="12" width="10.69140625" customWidth="1"/>
    <col min="13" max="13" width="12.921875" customWidth="1"/>
    <col min="14" max="14" width="11.15234375" customWidth="1"/>
    <col min="15" max="15" width="9" customWidth="1"/>
    <col min="16" max="16" width="14" customWidth="1"/>
    <col min="17" max="18" width="14.3828125" customWidth="1"/>
    <col min="19" max="19" width="15.23046875" customWidth="1"/>
    <col min="20" max="20" width="8.61328125" customWidth="1"/>
    <col min="21" max="22" width="8.07421875" customWidth="1"/>
  </cols>
  <sheetData>
    <row r="1" spans="1:13" ht="18.45" x14ac:dyDescent="0.5">
      <c r="A1" s="19" t="s">
        <v>323</v>
      </c>
      <c r="I1" s="71" t="s">
        <v>153</v>
      </c>
      <c r="J1" s="71"/>
      <c r="K1" s="71"/>
      <c r="L1" s="71"/>
    </row>
    <row r="2" spans="1:13" x14ac:dyDescent="0.4">
      <c r="A2" s="20" t="s">
        <v>324</v>
      </c>
    </row>
    <row r="3" spans="1:13" x14ac:dyDescent="0.4">
      <c r="A3" s="8" t="s">
        <v>1</v>
      </c>
      <c r="B3" s="8" t="s">
        <v>154</v>
      </c>
      <c r="C3" s="8" t="s">
        <v>155</v>
      </c>
      <c r="D3" s="8" t="s">
        <v>156</v>
      </c>
      <c r="E3" s="8" t="s">
        <v>4</v>
      </c>
      <c r="F3" s="8" t="s">
        <v>137</v>
      </c>
      <c r="G3" s="8" t="s">
        <v>186</v>
      </c>
      <c r="H3" s="8" t="s">
        <v>187</v>
      </c>
      <c r="I3" s="8" t="s">
        <v>157</v>
      </c>
      <c r="J3" s="8" t="s">
        <v>93</v>
      </c>
      <c r="K3" s="8" t="s">
        <v>322</v>
      </c>
      <c r="L3" s="8" t="s">
        <v>158</v>
      </c>
      <c r="M3" s="8" t="s">
        <v>159</v>
      </c>
    </row>
    <row r="4" spans="1:13" x14ac:dyDescent="0.4">
      <c r="A4" t="str">
        <f>'Generic Scoring'!A4</f>
        <v>NVIDIA Corp</v>
      </c>
      <c r="B4" t="str">
        <f>'Generic Scoring'!B4</f>
        <v>Information Technology</v>
      </c>
      <c r="C4">
        <f>'Generic Scoring'!AS4</f>
        <v>83</v>
      </c>
      <c r="D4">
        <f>'Generic Scoring'!AW4</f>
        <v>10</v>
      </c>
      <c r="E4">
        <f t="shared" ref="E4:E35" si="0">MIN(100,MAX(0,C4+D4))</f>
        <v>93</v>
      </c>
      <c r="F4" s="18">
        <f ca="1">'Generic Scoring'!BB4</f>
        <v>0.40154169586545191</v>
      </c>
      <c r="G4">
        <f t="shared" ref="G4:G35" ca="1" si="1">IF(F4="","",MIN(100,MAX(0,ROUND(60+F4*200/1.5,0))))</f>
        <v>100</v>
      </c>
      <c r="H4">
        <f t="shared" ref="H4:H35" ca="1" si="2">IF(OR(E4="",G4=""),"",MIN(100,MAX(0,ROUND(E4*0.6+G4*0.4,0))))</f>
        <v>96</v>
      </c>
      <c r="I4" s="23" t="str">
        <f t="shared" ref="I4:I35" ca="1" si="3">IF(H4="","",IF(H4&gt;=90,"🟢 Core A+",IF(H4&gt;=85,"🔵 Core A",IF(H4&gt;=75,"🟡 Satélite",IF(H4&gt;=60,"⚪ Opcional","🔴 Avoid")))))</f>
        <v>🟢 Core A+</v>
      </c>
      <c r="J4" s="23" t="str">
        <f t="shared" ref="J4:J35" ca="1" si="4">IF(H4="","",IF(H4&gt;=90,"A+",IF(H4&gt;=80,"A",IF(H4&gt;=70,"B+",IF(H4&gt;=60,"B",IF(H4&gt;=50,"C","D"))))))</f>
        <v>A+</v>
      </c>
      <c r="K4" s="23" t="str">
        <f>'Generic Scoring'!BM4</f>
        <v>🚀 STRONG BUY</v>
      </c>
      <c r="L4" s="23" t="s">
        <v>160</v>
      </c>
      <c r="M4" t="s">
        <v>160</v>
      </c>
    </row>
    <row r="5" spans="1:13" x14ac:dyDescent="0.4">
      <c r="A5" t="str">
        <f>'Generic Scoring'!A5</f>
        <v>Johnson &amp; Johnson</v>
      </c>
      <c r="B5" t="str">
        <f>'Generic Scoring'!B5</f>
        <v>Health Care</v>
      </c>
      <c r="C5">
        <f>'Generic Scoring'!AS5</f>
        <v>73</v>
      </c>
      <c r="D5">
        <f>'Generic Scoring'!AW5</f>
        <v>5</v>
      </c>
      <c r="E5">
        <f t="shared" si="0"/>
        <v>78</v>
      </c>
      <c r="F5" s="18">
        <f ca="1">'Generic Scoring'!BB5</f>
        <v>-0.23925764922253806</v>
      </c>
      <c r="G5">
        <f t="shared" ca="1" si="1"/>
        <v>28</v>
      </c>
      <c r="H5">
        <f t="shared" ca="1" si="2"/>
        <v>58</v>
      </c>
      <c r="I5" s="24" t="str">
        <f t="shared" ca="1" si="3"/>
        <v>🔴 Avoid</v>
      </c>
      <c r="J5" s="24" t="str">
        <f t="shared" ca="1" si="4"/>
        <v>C</v>
      </c>
      <c r="K5" s="24" t="str">
        <f>'Generic Scoring'!BM5</f>
        <v>⚠️ HOLD</v>
      </c>
      <c r="L5" s="24" t="s">
        <v>160</v>
      </c>
      <c r="M5" t="s">
        <v>160</v>
      </c>
    </row>
    <row r="6" spans="1:13" x14ac:dyDescent="0.4">
      <c r="A6" t="str">
        <f>'Generic Scoring'!A6</f>
        <v>Exxon Mobil Corp</v>
      </c>
      <c r="B6" t="str">
        <f>'Generic Scoring'!B6</f>
        <v>Energy</v>
      </c>
      <c r="C6">
        <f>'Generic Scoring'!AS6</f>
        <v>75</v>
      </c>
      <c r="D6">
        <f>'Generic Scoring'!AW6</f>
        <v>6</v>
      </c>
      <c r="E6">
        <f t="shared" si="0"/>
        <v>81</v>
      </c>
      <c r="F6" s="18">
        <f ca="1">'Generic Scoring'!BB6</f>
        <v>-0.14163090128755368</v>
      </c>
      <c r="G6">
        <f t="shared" ca="1" si="1"/>
        <v>41</v>
      </c>
      <c r="H6">
        <f t="shared" ca="1" si="2"/>
        <v>65</v>
      </c>
      <c r="I6" s="24" t="str">
        <f t="shared" ca="1" si="3"/>
        <v>⚪ Opcional</v>
      </c>
      <c r="J6" s="24" t="str">
        <f t="shared" ca="1" si="4"/>
        <v>B</v>
      </c>
      <c r="K6" s="24" t="str">
        <f>'Generic Scoring'!BM6</f>
        <v>⚠️ HOLD</v>
      </c>
      <c r="L6" s="24" t="s">
        <v>160</v>
      </c>
      <c r="M6" t="s">
        <v>160</v>
      </c>
    </row>
    <row r="7" spans="1:13" x14ac:dyDescent="0.4">
      <c r="A7" t="str">
        <f>'Generic Scoring'!A7</f>
        <v>Berkshire Hathaway</v>
      </c>
      <c r="B7" t="str">
        <f>'Generic Scoring'!B7</f>
        <v>Financials</v>
      </c>
      <c r="C7">
        <f>'Generic Scoring'!AS7</f>
        <v>75</v>
      </c>
      <c r="D7">
        <f>'Generic Scoring'!AW7</f>
        <v>8</v>
      </c>
      <c r="E7">
        <f t="shared" si="0"/>
        <v>83</v>
      </c>
      <c r="F7" s="18">
        <f ca="1">'Generic Scoring'!BB7</f>
        <v>7.3074252530140799E-2</v>
      </c>
      <c r="G7">
        <f t="shared" ca="1" si="1"/>
        <v>70</v>
      </c>
      <c r="H7">
        <f t="shared" ca="1" si="2"/>
        <v>78</v>
      </c>
      <c r="I7" s="24" t="str">
        <f t="shared" ca="1" si="3"/>
        <v>🟡 Satélite</v>
      </c>
      <c r="J7" s="24" t="str">
        <f t="shared" ca="1" si="4"/>
        <v>B+</v>
      </c>
      <c r="K7" s="24" t="str">
        <f>'Generic Scoring'!BM7</f>
        <v>🚀 STRONG BUY</v>
      </c>
      <c r="L7" s="24" t="s">
        <v>160</v>
      </c>
      <c r="M7" t="s">
        <v>160</v>
      </c>
    </row>
    <row r="8" spans="1:13" x14ac:dyDescent="0.4">
      <c r="A8" t="str">
        <f>'Generic Scoring'!A8</f>
        <v>NextEra Energy</v>
      </c>
      <c r="B8" t="str">
        <f>'Generic Scoring'!B8</f>
        <v>Utilities</v>
      </c>
      <c r="C8">
        <f>'Generic Scoring'!AS8</f>
        <v>64</v>
      </c>
      <c r="D8">
        <f>'Generic Scoring'!AW8</f>
        <v>0</v>
      </c>
      <c r="E8">
        <f t="shared" si="0"/>
        <v>64</v>
      </c>
      <c r="F8" s="18">
        <f ca="1">'Generic Scoring'!BB8</f>
        <v>-0.15533128565160154</v>
      </c>
      <c r="G8">
        <f t="shared" ca="1" si="1"/>
        <v>39</v>
      </c>
      <c r="H8">
        <f t="shared" ca="1" si="2"/>
        <v>54</v>
      </c>
      <c r="I8" s="24" t="str">
        <f t="shared" ca="1" si="3"/>
        <v>🔴 Avoid</v>
      </c>
      <c r="J8" s="24" t="str">
        <f t="shared" ca="1" si="4"/>
        <v>C</v>
      </c>
      <c r="K8" s="24" t="str">
        <f>'Generic Scoring'!BM8</f>
        <v>🟠 UNDERWEIGHT</v>
      </c>
      <c r="L8" s="24" t="s">
        <v>160</v>
      </c>
      <c r="M8" t="s">
        <v>160</v>
      </c>
    </row>
    <row r="9" spans="1:13" x14ac:dyDescent="0.4">
      <c r="A9" t="str">
        <f>'Generic Scoring'!A9</f>
        <v>Apple Inc</v>
      </c>
      <c r="B9" t="str">
        <f>'Generic Scoring'!B9</f>
        <v>Information Technology</v>
      </c>
      <c r="C9">
        <f>'Generic Scoring'!AS9</f>
        <v>72</v>
      </c>
      <c r="D9">
        <f>'Generic Scoring'!AW9</f>
        <v>7</v>
      </c>
      <c r="E9">
        <f t="shared" si="0"/>
        <v>79</v>
      </c>
      <c r="F9" s="18">
        <f ca="1">'Generic Scoring'!BB9</f>
        <v>2.8114990707422256E-2</v>
      </c>
      <c r="G9">
        <f t="shared" ca="1" si="1"/>
        <v>64</v>
      </c>
      <c r="H9">
        <f t="shared" ca="1" si="2"/>
        <v>73</v>
      </c>
      <c r="I9" s="24" t="str">
        <f t="shared" ca="1" si="3"/>
        <v>⚪ Opcional</v>
      </c>
      <c r="J9" s="24" t="str">
        <f t="shared" ca="1" si="4"/>
        <v>B+</v>
      </c>
      <c r="K9" s="24" t="str">
        <f>'Generic Scoring'!BM9</f>
        <v>⚠️ HOLD</v>
      </c>
      <c r="L9" s="24" t="s">
        <v>160</v>
      </c>
      <c r="M9" t="s">
        <v>160</v>
      </c>
    </row>
    <row r="10" spans="1:13" x14ac:dyDescent="0.4">
      <c r="A10" t="str">
        <f>'Generic Scoring'!A10</f>
        <v>Amazon.com Inc</v>
      </c>
      <c r="B10" t="str">
        <f>'Generic Scoring'!B10</f>
        <v>Consumer Discretionary</v>
      </c>
      <c r="C10">
        <f>'Generic Scoring'!AS10</f>
        <v>69</v>
      </c>
      <c r="D10">
        <f>'Generic Scoring'!AW10</f>
        <v>8</v>
      </c>
      <c r="E10">
        <f t="shared" si="0"/>
        <v>77</v>
      </c>
      <c r="F10" s="18">
        <f ca="1">'Generic Scoring'!BB10</f>
        <v>0.25277055025537248</v>
      </c>
      <c r="G10">
        <f t="shared" ca="1" si="1"/>
        <v>94</v>
      </c>
      <c r="H10">
        <f t="shared" ca="1" si="2"/>
        <v>84</v>
      </c>
      <c r="I10" s="24" t="str">
        <f t="shared" ca="1" si="3"/>
        <v>🟡 Satélite</v>
      </c>
      <c r="J10" s="24" t="str">
        <f t="shared" ca="1" si="4"/>
        <v>A</v>
      </c>
      <c r="K10" s="24" t="str">
        <f>'Generic Scoring'!BM10</f>
        <v>✅ BUY</v>
      </c>
      <c r="L10" s="24" t="s">
        <v>160</v>
      </c>
      <c r="M10" t="s">
        <v>160</v>
      </c>
    </row>
    <row r="11" spans="1:13" x14ac:dyDescent="0.4">
      <c r="A11" t="str">
        <f>'Generic Scoring'!A11</f>
        <v>Alphabet Inc</v>
      </c>
      <c r="B11" t="str">
        <f>'Generic Scoring'!B11</f>
        <v>Communication Services</v>
      </c>
      <c r="C11">
        <f>'Generic Scoring'!AS11</f>
        <v>84</v>
      </c>
      <c r="D11">
        <f>'Generic Scoring'!AW11</f>
        <v>8</v>
      </c>
      <c r="E11">
        <f t="shared" si="0"/>
        <v>92</v>
      </c>
      <c r="F11" s="18">
        <f ca="1">'Generic Scoring'!BB11</f>
        <v>0.21030898476434565</v>
      </c>
      <c r="G11">
        <f t="shared" ca="1" si="1"/>
        <v>88</v>
      </c>
      <c r="H11">
        <f t="shared" ca="1" si="2"/>
        <v>90</v>
      </c>
      <c r="I11" s="24" t="str">
        <f t="shared" ca="1" si="3"/>
        <v>🟢 Core A+</v>
      </c>
      <c r="J11" s="24" t="str">
        <f t="shared" ca="1" si="4"/>
        <v>A+</v>
      </c>
      <c r="K11" s="24" t="str">
        <f>'Generic Scoring'!BM11</f>
        <v>✅ BUY</v>
      </c>
      <c r="L11" s="24" t="s">
        <v>160</v>
      </c>
      <c r="M11" t="s">
        <v>160</v>
      </c>
    </row>
    <row r="12" spans="1:13" x14ac:dyDescent="0.4">
      <c r="A12" t="str">
        <f>'Generic Scoring'!A12</f>
        <v>Procter &amp; Gamble</v>
      </c>
      <c r="B12" t="str">
        <f>'Generic Scoring'!B12</f>
        <v>Consumer Staples</v>
      </c>
      <c r="C12">
        <f>'Generic Scoring'!AS12</f>
        <v>78</v>
      </c>
      <c r="D12">
        <f>'Generic Scoring'!AW12</f>
        <v>5</v>
      </c>
      <c r="E12">
        <f t="shared" si="0"/>
        <v>83</v>
      </c>
      <c r="F12" s="18">
        <f ca="1">'Generic Scoring'!BB12</f>
        <v>3.9179890464822446E-2</v>
      </c>
      <c r="G12">
        <f t="shared" ca="1" si="1"/>
        <v>65</v>
      </c>
      <c r="H12">
        <f t="shared" ca="1" si="2"/>
        <v>76</v>
      </c>
      <c r="I12" s="24" t="str">
        <f t="shared" ca="1" si="3"/>
        <v>🟡 Satélite</v>
      </c>
      <c r="J12" s="24" t="str">
        <f t="shared" ca="1" si="4"/>
        <v>B+</v>
      </c>
      <c r="K12" s="24" t="str">
        <f>'Generic Scoring'!BM12</f>
        <v>⚠️ HOLD</v>
      </c>
      <c r="L12" s="24" t="s">
        <v>160</v>
      </c>
      <c r="M12" t="s">
        <v>160</v>
      </c>
    </row>
    <row r="13" spans="1:13" x14ac:dyDescent="0.4">
      <c r="A13" t="str">
        <f>'Generic Scoring'!A13</f>
        <v>Caterpillar Inc</v>
      </c>
      <c r="B13" t="str">
        <f>'Generic Scoring'!B13</f>
        <v>Industrials</v>
      </c>
      <c r="C13">
        <f>'Generic Scoring'!AS13</f>
        <v>83</v>
      </c>
      <c r="D13">
        <f>'Generic Scoring'!AW13</f>
        <v>6</v>
      </c>
      <c r="E13">
        <f t="shared" si="0"/>
        <v>89</v>
      </c>
      <c r="F13" s="18">
        <f ca="1">'Generic Scoring'!BB13</f>
        <v>61999</v>
      </c>
      <c r="G13">
        <f t="shared" ca="1" si="1"/>
        <v>100</v>
      </c>
      <c r="H13">
        <f t="shared" ca="1" si="2"/>
        <v>93</v>
      </c>
      <c r="I13" s="24" t="str">
        <f t="shared" ca="1" si="3"/>
        <v>🟢 Core A+</v>
      </c>
      <c r="J13" s="24" t="str">
        <f t="shared" ca="1" si="4"/>
        <v>A+</v>
      </c>
      <c r="K13" s="24" t="str">
        <f>'Generic Scoring'!BM13</f>
        <v>✅ BUY</v>
      </c>
      <c r="L13" s="24" t="s">
        <v>160</v>
      </c>
      <c r="M13" t="s">
        <v>160</v>
      </c>
    </row>
    <row r="14" spans="1:13" x14ac:dyDescent="0.4">
      <c r="A14" t="str">
        <f>'Generic Scoring'!A14</f>
        <v>Linde plc</v>
      </c>
      <c r="B14" t="str">
        <f>'Generic Scoring'!B14</f>
        <v>Materials</v>
      </c>
      <c r="C14">
        <f>'Generic Scoring'!AS14</f>
        <v>67</v>
      </c>
      <c r="D14">
        <f>'Generic Scoring'!AW14</f>
        <v>4</v>
      </c>
      <c r="E14">
        <f t="shared" si="0"/>
        <v>71</v>
      </c>
      <c r="F14" s="18">
        <f ca="1">'Generic Scoring'!BB14</f>
        <v>0.11001231104563158</v>
      </c>
      <c r="G14">
        <f t="shared" ca="1" si="1"/>
        <v>75</v>
      </c>
      <c r="H14">
        <f t="shared" ca="1" si="2"/>
        <v>73</v>
      </c>
      <c r="I14" s="24" t="str">
        <f t="shared" ca="1" si="3"/>
        <v>⚪ Opcional</v>
      </c>
      <c r="J14" s="24" t="str">
        <f t="shared" ca="1" si="4"/>
        <v>B+</v>
      </c>
      <c r="K14" s="24" t="str">
        <f>'Generic Scoring'!BM14</f>
        <v>🟠 UNDERWEIGHT</v>
      </c>
      <c r="L14" s="24" t="s">
        <v>160</v>
      </c>
      <c r="M14" t="s">
        <v>160</v>
      </c>
    </row>
    <row r="15" spans="1:13" x14ac:dyDescent="0.4">
      <c r="A15" t="str">
        <f>'Generic Scoring'!A15</f>
        <v>Prologis Inc</v>
      </c>
      <c r="B15" t="str">
        <f>'Generic Scoring'!B15</f>
        <v>Real Estate</v>
      </c>
      <c r="C15">
        <f>'Generic Scoring'!AS15</f>
        <v>58</v>
      </c>
      <c r="D15">
        <f>'Generic Scoring'!AW15</f>
        <v>1</v>
      </c>
      <c r="E15">
        <f t="shared" si="0"/>
        <v>59</v>
      </c>
      <c r="F15" s="18">
        <f ca="1">'Generic Scoring'!BB15</f>
        <v>2.0040080160319937E-3</v>
      </c>
      <c r="G15">
        <f t="shared" ca="1" si="1"/>
        <v>60</v>
      </c>
      <c r="H15">
        <f t="shared" ca="1" si="2"/>
        <v>59</v>
      </c>
      <c r="I15" s="24" t="str">
        <f t="shared" ca="1" si="3"/>
        <v>🔴 Avoid</v>
      </c>
      <c r="J15" s="24" t="str">
        <f t="shared" ca="1" si="4"/>
        <v>C</v>
      </c>
      <c r="K15" s="24" t="str">
        <f>'Generic Scoring'!BM15</f>
        <v>🔴 SELL</v>
      </c>
      <c r="L15" s="24" t="s">
        <v>160</v>
      </c>
      <c r="M15" t="s">
        <v>160</v>
      </c>
    </row>
    <row r="16" spans="1:13" x14ac:dyDescent="0.4">
      <c r="A16" t="str">
        <f>'Generic Scoring'!A16</f>
        <v>UnitedHealth Group</v>
      </c>
      <c r="B16" t="str">
        <f>'Generic Scoring'!B16</f>
        <v>Health Care</v>
      </c>
      <c r="C16">
        <f>'Generic Scoring'!AS16</f>
        <v>71</v>
      </c>
      <c r="D16">
        <f>'Generic Scoring'!AW16</f>
        <v>6</v>
      </c>
      <c r="E16">
        <f t="shared" si="0"/>
        <v>77</v>
      </c>
      <c r="F16" s="18">
        <f ca="1">'Generic Scoring'!BB16</f>
        <v>0.59298638313747432</v>
      </c>
      <c r="G16">
        <f t="shared" ca="1" si="1"/>
        <v>100</v>
      </c>
      <c r="H16">
        <f t="shared" ca="1" si="2"/>
        <v>86</v>
      </c>
      <c r="I16" s="24" t="str">
        <f t="shared" ca="1" si="3"/>
        <v>🔵 Core A</v>
      </c>
      <c r="J16" s="24" t="str">
        <f t="shared" ca="1" si="4"/>
        <v>A</v>
      </c>
      <c r="K16" s="24" t="str">
        <f>'Generic Scoring'!BM16</f>
        <v>⚠️ HOLD</v>
      </c>
      <c r="L16" s="24" t="s">
        <v>160</v>
      </c>
      <c r="M16" t="s">
        <v>160</v>
      </c>
    </row>
    <row r="17" spans="1:13" x14ac:dyDescent="0.4">
      <c r="A17" t="str">
        <f>'Generic Scoring'!A17</f>
        <v>JPMorgan Chase</v>
      </c>
      <c r="B17" t="str">
        <f>'Generic Scoring'!B17</f>
        <v>Financials</v>
      </c>
      <c r="C17">
        <f>'Generic Scoring'!AS17</f>
        <v>78</v>
      </c>
      <c r="D17">
        <f>'Generic Scoring'!AW17</f>
        <v>7</v>
      </c>
      <c r="E17">
        <f t="shared" si="0"/>
        <v>85</v>
      </c>
      <c r="F17" s="18">
        <f ca="1">'Generic Scoring'!BB17</f>
        <v>-9.1202084619077858E-3</v>
      </c>
      <c r="G17">
        <f t="shared" ca="1" si="1"/>
        <v>59</v>
      </c>
      <c r="H17">
        <f t="shared" ca="1" si="2"/>
        <v>75</v>
      </c>
      <c r="I17" s="24" t="str">
        <f t="shared" ca="1" si="3"/>
        <v>🟡 Satélite</v>
      </c>
      <c r="J17" s="24" t="str">
        <f t="shared" ca="1" si="4"/>
        <v>B+</v>
      </c>
      <c r="K17" s="24" t="str">
        <f>'Generic Scoring'!BM17</f>
        <v>🚀 STRONG BUY</v>
      </c>
      <c r="L17" s="24" t="s">
        <v>160</v>
      </c>
      <c r="M17" t="s">
        <v>160</v>
      </c>
    </row>
    <row r="18" spans="1:13" x14ac:dyDescent="0.4">
      <c r="A18" t="str">
        <f>'Generic Scoring'!A18</f>
        <v>Chevron Corp</v>
      </c>
      <c r="B18" t="str">
        <f>'Generic Scoring'!B18</f>
        <v>Energy</v>
      </c>
      <c r="C18">
        <f>'Generic Scoring'!AS18</f>
        <v>71</v>
      </c>
      <c r="D18">
        <f>'Generic Scoring'!AW18</f>
        <v>2</v>
      </c>
      <c r="E18">
        <f t="shared" si="0"/>
        <v>73</v>
      </c>
      <c r="F18" s="18">
        <f ca="1">'Generic Scoring'!BB18</f>
        <v>-0.17705375619615954</v>
      </c>
      <c r="G18">
        <f t="shared" ca="1" si="1"/>
        <v>36</v>
      </c>
      <c r="H18">
        <f t="shared" ca="1" si="2"/>
        <v>58</v>
      </c>
      <c r="I18" s="24" t="str">
        <f t="shared" ca="1" si="3"/>
        <v>🔴 Avoid</v>
      </c>
      <c r="J18" s="24" t="str">
        <f t="shared" ca="1" si="4"/>
        <v>C</v>
      </c>
      <c r="K18" s="24" t="str">
        <f>'Generic Scoring'!BM18</f>
        <v>🟠 UNDERWEIGHT</v>
      </c>
      <c r="L18" s="24" t="s">
        <v>160</v>
      </c>
      <c r="M18" t="s">
        <v>160</v>
      </c>
    </row>
    <row r="19" spans="1:13" x14ac:dyDescent="0.4">
      <c r="A19" t="str">
        <f>'Generic Scoring'!A19</f>
        <v>Microsoft Corp</v>
      </c>
      <c r="B19" t="str">
        <f>'Generic Scoring'!B19</f>
        <v>Information Technology</v>
      </c>
      <c r="C19">
        <f>'Generic Scoring'!AS19</f>
        <v>75</v>
      </c>
      <c r="D19">
        <f>'Generic Scoring'!AW19</f>
        <v>7</v>
      </c>
      <c r="E19">
        <f t="shared" si="0"/>
        <v>82</v>
      </c>
      <c r="F19" s="18">
        <f ca="1">'Generic Scoring'!BB19</f>
        <v>0.6394786457906384</v>
      </c>
      <c r="G19">
        <f t="shared" ca="1" si="1"/>
        <v>100</v>
      </c>
      <c r="H19">
        <f t="shared" ca="1" si="2"/>
        <v>89</v>
      </c>
      <c r="I19" s="24" t="str">
        <f t="shared" ca="1" si="3"/>
        <v>🔵 Core A</v>
      </c>
      <c r="J19" s="24" t="str">
        <f t="shared" ca="1" si="4"/>
        <v>A</v>
      </c>
      <c r="K19" s="24" t="str">
        <f>'Generic Scoring'!BM19</f>
        <v>✅ BUY</v>
      </c>
      <c r="L19" s="24" t="s">
        <v>160</v>
      </c>
      <c r="M19" t="s">
        <v>160</v>
      </c>
    </row>
    <row r="20" spans="1:13" x14ac:dyDescent="0.4">
      <c r="A20" t="str">
        <f>'Generic Scoring'!A20</f>
        <v>Visa Inc</v>
      </c>
      <c r="B20" t="str">
        <f>'Generic Scoring'!B20</f>
        <v>Financials</v>
      </c>
      <c r="C20">
        <f>'Generic Scoring'!AS20</f>
        <v>76</v>
      </c>
      <c r="D20">
        <f>'Generic Scoring'!AW20</f>
        <v>8</v>
      </c>
      <c r="E20">
        <f t="shared" si="0"/>
        <v>84</v>
      </c>
      <c r="F20" s="18">
        <f ca="1">'Generic Scoring'!BB20</f>
        <v>5.7179327725591686E-2</v>
      </c>
      <c r="G20">
        <f t="shared" ca="1" si="1"/>
        <v>68</v>
      </c>
      <c r="H20">
        <f t="shared" ca="1" si="2"/>
        <v>78</v>
      </c>
      <c r="I20" s="24" t="str">
        <f t="shared" ca="1" si="3"/>
        <v>🟡 Satélite</v>
      </c>
      <c r="J20" s="24" t="str">
        <f t="shared" ca="1" si="4"/>
        <v>B+</v>
      </c>
      <c r="K20" s="24" t="str">
        <f>'Generic Scoring'!BM20</f>
        <v>⚠️ HOLD</v>
      </c>
      <c r="L20" s="24" t="s">
        <v>160</v>
      </c>
      <c r="M20" t="s">
        <v>160</v>
      </c>
    </row>
    <row r="21" spans="1:13" x14ac:dyDescent="0.4">
      <c r="A21" t="str">
        <f>'Generic Scoring'!A21</f>
        <v>Eli Lilly &amp; Co</v>
      </c>
      <c r="B21" t="str">
        <f>'Generic Scoring'!B21</f>
        <v>Health Care</v>
      </c>
      <c r="C21">
        <f>'Generic Scoring'!AS21</f>
        <v>78</v>
      </c>
      <c r="D21">
        <f>'Generic Scoring'!AW21</f>
        <v>8</v>
      </c>
      <c r="E21">
        <f t="shared" si="0"/>
        <v>86</v>
      </c>
      <c r="F21" s="18">
        <f ca="1">'Generic Scoring'!BB21</f>
        <v>-3.0100334448160536E-2</v>
      </c>
      <c r="G21">
        <f t="shared" ca="1" si="1"/>
        <v>56</v>
      </c>
      <c r="H21">
        <f t="shared" ca="1" si="2"/>
        <v>74</v>
      </c>
      <c r="I21" s="24" t="str">
        <f t="shared" ca="1" si="3"/>
        <v>⚪ Opcional</v>
      </c>
      <c r="J21" s="24" t="str">
        <f t="shared" ca="1" si="4"/>
        <v>B+</v>
      </c>
      <c r="K21" s="24" t="str">
        <f>'Generic Scoring'!BM21</f>
        <v>✅ BUY</v>
      </c>
      <c r="L21" s="24" t="s">
        <v>160</v>
      </c>
      <c r="M21" t="s">
        <v>160</v>
      </c>
    </row>
    <row r="22" spans="1:13" x14ac:dyDescent="0.4">
      <c r="A22" t="str">
        <f>'Generic Scoring'!A22</f>
        <v>McDonald's Corp</v>
      </c>
      <c r="B22" t="str">
        <f>'Generic Scoring'!B22</f>
        <v>Consumer Discretionary</v>
      </c>
      <c r="C22">
        <f>'Generic Scoring'!AS22</f>
        <v>65</v>
      </c>
      <c r="D22">
        <f>'Generic Scoring'!AW22</f>
        <v>5</v>
      </c>
      <c r="E22">
        <f t="shared" si="0"/>
        <v>70</v>
      </c>
      <c r="F22" s="18">
        <f ca="1">'Generic Scoring'!BB22</f>
        <v>-6.2473699543586147E-3</v>
      </c>
      <c r="G22">
        <f t="shared" ca="1" si="1"/>
        <v>59</v>
      </c>
      <c r="H22">
        <f t="shared" ca="1" si="2"/>
        <v>66</v>
      </c>
      <c r="I22" s="24" t="str">
        <f t="shared" ca="1" si="3"/>
        <v>⚪ Opcional</v>
      </c>
      <c r="J22" s="24" t="str">
        <f t="shared" ca="1" si="4"/>
        <v>B</v>
      </c>
      <c r="K22" s="24" t="str">
        <f>'Generic Scoring'!BM22</f>
        <v>⚠️ HOLD</v>
      </c>
      <c r="L22" s="24" t="s">
        <v>160</v>
      </c>
      <c r="M22" t="s">
        <v>160</v>
      </c>
    </row>
    <row r="23" spans="1:13" x14ac:dyDescent="0.4">
      <c r="A23" t="str">
        <f>'Generic Scoring'!A23</f>
        <v>Costco Wholesale</v>
      </c>
      <c r="B23" t="str">
        <f>'Generic Scoring'!B23</f>
        <v>Consumer Staples</v>
      </c>
      <c r="C23">
        <f>'Generic Scoring'!AS23</f>
        <v>61</v>
      </c>
      <c r="D23">
        <f>'Generic Scoring'!AW23</f>
        <v>4</v>
      </c>
      <c r="E23">
        <f t="shared" si="0"/>
        <v>65</v>
      </c>
      <c r="F23" s="18">
        <f ca="1">'Generic Scoring'!BB23</f>
        <v>-0.33649772878068696</v>
      </c>
      <c r="G23">
        <f t="shared" ca="1" si="1"/>
        <v>15</v>
      </c>
      <c r="H23">
        <f t="shared" ca="1" si="2"/>
        <v>45</v>
      </c>
      <c r="I23" s="24" t="str">
        <f t="shared" ca="1" si="3"/>
        <v>🔴 Avoid</v>
      </c>
      <c r="J23" s="24" t="str">
        <f t="shared" ca="1" si="4"/>
        <v>D</v>
      </c>
      <c r="K23" s="24" t="str">
        <f>'Generic Scoring'!BM23</f>
        <v>🟠 UNDERWEIGHT</v>
      </c>
      <c r="L23" s="24" t="s">
        <v>160</v>
      </c>
      <c r="M23" t="s">
        <v>160</v>
      </c>
    </row>
    <row r="24" spans="1:13" x14ac:dyDescent="0.4">
      <c r="A24" t="str">
        <f>'Generic Scoring'!A24</f>
        <v>American Tower</v>
      </c>
      <c r="B24" t="str">
        <f>'Generic Scoring'!B24</f>
        <v>Real Estate</v>
      </c>
      <c r="C24">
        <f>'Generic Scoring'!AS24</f>
        <v>63</v>
      </c>
      <c r="D24">
        <f>'Generic Scoring'!AW24</f>
        <v>2</v>
      </c>
      <c r="E24">
        <f t="shared" si="0"/>
        <v>65</v>
      </c>
      <c r="F24" s="18">
        <f ca="1">'Generic Scoring'!BB24</f>
        <v>0.36159128581577088</v>
      </c>
      <c r="G24">
        <f t="shared" ca="1" si="1"/>
        <v>100</v>
      </c>
      <c r="H24">
        <f t="shared" ca="1" si="2"/>
        <v>79</v>
      </c>
      <c r="I24" s="24" t="str">
        <f t="shared" ca="1" si="3"/>
        <v>🟡 Satélite</v>
      </c>
      <c r="J24" s="24" t="str">
        <f t="shared" ca="1" si="4"/>
        <v>B+</v>
      </c>
      <c r="K24" s="24" t="str">
        <f>'Generic Scoring'!BM24</f>
        <v>🟠 UNDERWEIGHT</v>
      </c>
      <c r="L24" s="24" t="s">
        <v>160</v>
      </c>
      <c r="M24" t="s">
        <v>160</v>
      </c>
    </row>
    <row r="25" spans="1:13" x14ac:dyDescent="0.4">
      <c r="A25" t="str">
        <f>'Generic Scoring'!A25</f>
        <v>Duke Energy</v>
      </c>
      <c r="B25" t="str">
        <f>'Generic Scoring'!B25</f>
        <v>Utilities</v>
      </c>
      <c r="C25">
        <f>'Generic Scoring'!AS25</f>
        <v>65</v>
      </c>
      <c r="D25">
        <f>'Generic Scoring'!AW25</f>
        <v>3</v>
      </c>
      <c r="E25">
        <f t="shared" si="0"/>
        <v>68</v>
      </c>
      <c r="F25" s="18">
        <f ca="1">'Generic Scoring'!BB25</f>
        <v>1.2521255217189709E-2</v>
      </c>
      <c r="G25">
        <f t="shared" ca="1" si="1"/>
        <v>62</v>
      </c>
      <c r="H25">
        <f t="shared" ca="1" si="2"/>
        <v>66</v>
      </c>
      <c r="I25" s="24" t="str">
        <f t="shared" ca="1" si="3"/>
        <v>⚪ Opcional</v>
      </c>
      <c r="J25" s="24" t="str">
        <f t="shared" ca="1" si="4"/>
        <v>B</v>
      </c>
      <c r="K25" s="24" t="str">
        <f>'Generic Scoring'!BM25</f>
        <v>⚠️ HOLD</v>
      </c>
      <c r="L25" s="24" t="s">
        <v>160</v>
      </c>
      <c r="M25" t="s">
        <v>160</v>
      </c>
    </row>
    <row r="26" spans="1:13" x14ac:dyDescent="0.4">
      <c r="A26" t="str">
        <f>'Generic Scoring'!A26</f>
        <v>Union Pacific</v>
      </c>
      <c r="B26" t="str">
        <f>'Generic Scoring'!B26</f>
        <v>Industrials</v>
      </c>
      <c r="C26">
        <f>'Generic Scoring'!AS26</f>
        <v>66</v>
      </c>
      <c r="D26">
        <f>'Generic Scoring'!AW26</f>
        <v>5</v>
      </c>
      <c r="E26">
        <f t="shared" si="0"/>
        <v>71</v>
      </c>
      <c r="F26" s="18">
        <f ca="1">'Generic Scoring'!BB26</f>
        <v>-9.695221372130941E-2</v>
      </c>
      <c r="G26">
        <f t="shared" ca="1" si="1"/>
        <v>47</v>
      </c>
      <c r="H26">
        <f t="shared" ca="1" si="2"/>
        <v>61</v>
      </c>
      <c r="I26" s="24" t="str">
        <f t="shared" ca="1" si="3"/>
        <v>⚪ Opcional</v>
      </c>
      <c r="J26" s="24" t="str">
        <f t="shared" ca="1" si="4"/>
        <v>B</v>
      </c>
      <c r="K26" s="24" t="str">
        <f>'Generic Scoring'!BM26</f>
        <v>⚠️ HOLD</v>
      </c>
      <c r="L26" s="24" t="s">
        <v>160</v>
      </c>
      <c r="M26" t="s">
        <v>160</v>
      </c>
    </row>
    <row r="27" spans="1:13" x14ac:dyDescent="0.4">
      <c r="A27" t="str">
        <f>'Generic Scoring'!A27</f>
        <v>Freeport-McMoRan</v>
      </c>
      <c r="B27" t="str">
        <f>'Generic Scoring'!B27</f>
        <v>Materials</v>
      </c>
      <c r="C27">
        <f>'Generic Scoring'!AS27</f>
        <v>81</v>
      </c>
      <c r="D27">
        <f>'Generic Scoring'!AW27</f>
        <v>6</v>
      </c>
      <c r="E27">
        <f t="shared" si="0"/>
        <v>87</v>
      </c>
      <c r="F27" s="18">
        <f ca="1">'Generic Scoring'!BB27</f>
        <v>-0.46265448683503491</v>
      </c>
      <c r="G27">
        <f t="shared" ca="1" si="1"/>
        <v>0</v>
      </c>
      <c r="H27">
        <f t="shared" ca="1" si="2"/>
        <v>52</v>
      </c>
      <c r="I27" s="24" t="str">
        <f t="shared" ca="1" si="3"/>
        <v>🔴 Avoid</v>
      </c>
      <c r="J27" s="24" t="str">
        <f t="shared" ca="1" si="4"/>
        <v>C</v>
      </c>
      <c r="K27" s="24" t="str">
        <f>'Generic Scoring'!BM27</f>
        <v>✅ BUY</v>
      </c>
      <c r="L27" s="24" t="s">
        <v>160</v>
      </c>
      <c r="M27" t="s">
        <v>160</v>
      </c>
    </row>
    <row r="28" spans="1:13" x14ac:dyDescent="0.4">
      <c r="A28" t="str">
        <f>'Generic Scoring'!A28</f>
        <v>T-Mobile US</v>
      </c>
      <c r="B28" t="str">
        <f>'Generic Scoring'!B28</f>
        <v>Communication Services</v>
      </c>
      <c r="C28">
        <f>'Generic Scoring'!AS28</f>
        <v>69</v>
      </c>
      <c r="D28">
        <f>'Generic Scoring'!AW28</f>
        <v>6</v>
      </c>
      <c r="E28">
        <f t="shared" si="0"/>
        <v>75</v>
      </c>
      <c r="F28" s="18">
        <f>'Generic Scoring'!BB28</f>
        <v>-1.2E-2</v>
      </c>
      <c r="G28">
        <f t="shared" si="1"/>
        <v>58</v>
      </c>
      <c r="H28">
        <f t="shared" si="2"/>
        <v>68</v>
      </c>
      <c r="I28" s="24" t="str">
        <f t="shared" si="3"/>
        <v>⚪ Opcional</v>
      </c>
      <c r="J28" s="24" t="str">
        <f t="shared" si="4"/>
        <v>B</v>
      </c>
      <c r="K28" s="24" t="str">
        <f>'Generic Scoring'!BM28</f>
        <v>✅ BUY</v>
      </c>
      <c r="L28" s="24" t="s">
        <v>160</v>
      </c>
      <c r="M28" t="s">
        <v>160</v>
      </c>
    </row>
    <row r="29" spans="1:13" x14ac:dyDescent="0.4">
      <c r="A29" t="str">
        <f>'Generic Scoring'!A29</f>
        <v>Meta Platforms</v>
      </c>
      <c r="B29" t="str">
        <f>'Generic Scoring'!B29</f>
        <v>Communication Services</v>
      </c>
      <c r="C29">
        <f>'Generic Scoring'!AS29</f>
        <v>84</v>
      </c>
      <c r="D29">
        <f>'Generic Scoring'!AW29</f>
        <v>7</v>
      </c>
      <c r="E29">
        <f t="shared" si="0"/>
        <v>91</v>
      </c>
      <c r="F29" s="18">
        <f ca="1">'Generic Scoring'!BB29</f>
        <v>0.55239799831975755</v>
      </c>
      <c r="G29">
        <f t="shared" ca="1" si="1"/>
        <v>100</v>
      </c>
      <c r="H29">
        <f t="shared" ca="1" si="2"/>
        <v>95</v>
      </c>
      <c r="I29" s="24" t="str">
        <f t="shared" ca="1" si="3"/>
        <v>🟢 Core A+</v>
      </c>
      <c r="J29" s="24" t="str">
        <f t="shared" ca="1" si="4"/>
        <v>A+</v>
      </c>
      <c r="K29" s="24" t="str">
        <f>'Generic Scoring'!BM29</f>
        <v>🚀 STRONG BUY</v>
      </c>
      <c r="L29" s="24" t="s">
        <v>160</v>
      </c>
      <c r="M29" t="s">
        <v>160</v>
      </c>
    </row>
    <row r="30" spans="1:13" x14ac:dyDescent="0.4">
      <c r="A30" t="str">
        <f>'Generic Scoring'!A30</f>
        <v>AbbVie Inc</v>
      </c>
      <c r="B30" t="str">
        <f>'Generic Scoring'!B30</f>
        <v>Health Care</v>
      </c>
      <c r="C30">
        <f>'Generic Scoring'!AS30</f>
        <v>67</v>
      </c>
      <c r="D30">
        <f>'Generic Scoring'!AW30</f>
        <v>4</v>
      </c>
      <c r="E30">
        <f t="shared" si="0"/>
        <v>71</v>
      </c>
      <c r="F30" s="18">
        <f ca="1">'Generic Scoring'!BB30</f>
        <v>-0.12845774914740435</v>
      </c>
      <c r="G30">
        <f t="shared" ca="1" si="1"/>
        <v>43</v>
      </c>
      <c r="H30">
        <f t="shared" ca="1" si="2"/>
        <v>60</v>
      </c>
      <c r="I30" s="24" t="str">
        <f t="shared" ca="1" si="3"/>
        <v>⚪ Opcional</v>
      </c>
      <c r="J30" s="24" t="str">
        <f t="shared" ca="1" si="4"/>
        <v>B</v>
      </c>
      <c r="K30" s="24" t="str">
        <f>'Generic Scoring'!BM30</f>
        <v>✅ BUY</v>
      </c>
      <c r="L30" s="24" t="s">
        <v>160</v>
      </c>
      <c r="M30" t="s">
        <v>160</v>
      </c>
    </row>
    <row r="31" spans="1:13" x14ac:dyDescent="0.4">
      <c r="A31" t="str">
        <f>'Generic Scoring'!A31</f>
        <v>Texas Instruments</v>
      </c>
      <c r="B31" t="str">
        <f>'Generic Scoring'!B31</f>
        <v>Information Technology</v>
      </c>
      <c r="C31">
        <f>'Generic Scoring'!AS31</f>
        <v>57</v>
      </c>
      <c r="D31">
        <f>'Generic Scoring'!AW31</f>
        <v>1</v>
      </c>
      <c r="E31">
        <f t="shared" si="0"/>
        <v>58</v>
      </c>
      <c r="F31" s="18">
        <f ca="1">'Generic Scoring'!BB31</f>
        <v>8.5776330076004367E-2</v>
      </c>
      <c r="G31">
        <f t="shared" ca="1" si="1"/>
        <v>71</v>
      </c>
      <c r="H31">
        <f t="shared" ca="1" si="2"/>
        <v>63</v>
      </c>
      <c r="I31" s="24" t="str">
        <f t="shared" ca="1" si="3"/>
        <v>⚪ Opcional</v>
      </c>
      <c r="J31" s="24" t="str">
        <f t="shared" ca="1" si="4"/>
        <v>B</v>
      </c>
      <c r="K31" s="24" t="str">
        <f>'Generic Scoring'!BM31</f>
        <v>🔴 SELL</v>
      </c>
      <c r="L31" s="24" t="s">
        <v>160</v>
      </c>
      <c r="M31" t="s">
        <v>160</v>
      </c>
    </row>
    <row r="32" spans="1:13" x14ac:dyDescent="0.4">
      <c r="A32" t="str">
        <f>'Generic Scoring'!A32</f>
        <v>Home Depot</v>
      </c>
      <c r="B32" t="str">
        <f>'Generic Scoring'!B32</f>
        <v>Consumer Discretionary</v>
      </c>
      <c r="C32">
        <f>'Generic Scoring'!AS32</f>
        <v>67</v>
      </c>
      <c r="D32">
        <f>'Generic Scoring'!AW32</f>
        <v>5</v>
      </c>
      <c r="E32">
        <f t="shared" si="0"/>
        <v>72</v>
      </c>
      <c r="F32" s="18">
        <f ca="1">'Generic Scoring'!BB32</f>
        <v>2.000426270438143E-2</v>
      </c>
      <c r="G32">
        <f t="shared" ca="1" si="1"/>
        <v>63</v>
      </c>
      <c r="H32">
        <f t="shared" ca="1" si="2"/>
        <v>68</v>
      </c>
      <c r="I32" s="24" t="str">
        <f t="shared" ca="1" si="3"/>
        <v>⚪ Opcional</v>
      </c>
      <c r="J32" s="24" t="str">
        <f t="shared" ca="1" si="4"/>
        <v>B</v>
      </c>
      <c r="K32" s="24" t="str">
        <f>'Generic Scoring'!BM32</f>
        <v>⚠️ HOLD</v>
      </c>
      <c r="L32" s="24" t="s">
        <v>160</v>
      </c>
      <c r="M32" t="s">
        <v>160</v>
      </c>
    </row>
    <row r="33" spans="1:13" x14ac:dyDescent="0.4">
      <c r="A33" t="str">
        <f>'Generic Scoring'!A33</f>
        <v>Broadcom Inc</v>
      </c>
      <c r="B33" t="str">
        <f>'Generic Scoring'!B33</f>
        <v>Information Technology</v>
      </c>
      <c r="C33">
        <f>'Generic Scoring'!AS33</f>
        <v>69</v>
      </c>
      <c r="D33">
        <f>'Generic Scoring'!AW33</f>
        <v>7</v>
      </c>
      <c r="E33">
        <f t="shared" si="0"/>
        <v>76</v>
      </c>
      <c r="F33" s="18">
        <f ca="1">'Generic Scoring'!BB33</f>
        <v>0.55131457750917046</v>
      </c>
      <c r="G33">
        <f t="shared" ca="1" si="1"/>
        <v>100</v>
      </c>
      <c r="H33">
        <f t="shared" ca="1" si="2"/>
        <v>86</v>
      </c>
      <c r="I33" s="24" t="str">
        <f t="shared" ca="1" si="3"/>
        <v>🔵 Core A</v>
      </c>
      <c r="J33" s="24" t="str">
        <f t="shared" ca="1" si="4"/>
        <v>A</v>
      </c>
      <c r="K33" s="24" t="str">
        <f>'Generic Scoring'!BM33</f>
        <v>✅ BUY</v>
      </c>
      <c r="L33" s="24" t="s">
        <v>160</v>
      </c>
      <c r="M33" t="s">
        <v>160</v>
      </c>
    </row>
    <row r="34" spans="1:13" x14ac:dyDescent="0.4">
      <c r="A34" t="str">
        <f>'Generic Scoring'!A34</f>
        <v>Walmart Inc</v>
      </c>
      <c r="B34" t="str">
        <f>'Generic Scoring'!B34</f>
        <v>Consumer Staples</v>
      </c>
      <c r="C34">
        <f>'Generic Scoring'!AS34</f>
        <v>66</v>
      </c>
      <c r="D34">
        <f>'Generic Scoring'!AW34</f>
        <v>4</v>
      </c>
      <c r="E34">
        <f t="shared" si="0"/>
        <v>70</v>
      </c>
      <c r="F34" s="18">
        <f ca="1">'Generic Scoring'!BB34</f>
        <v>-0.49255197249959082</v>
      </c>
      <c r="G34">
        <f t="shared" ca="1" si="1"/>
        <v>0</v>
      </c>
      <c r="H34">
        <f t="shared" ca="1" si="2"/>
        <v>42</v>
      </c>
      <c r="I34" s="24" t="str">
        <f t="shared" ca="1" si="3"/>
        <v>🔴 Avoid</v>
      </c>
      <c r="J34" s="24" t="str">
        <f t="shared" ca="1" si="4"/>
        <v>D</v>
      </c>
      <c r="K34" s="24" t="str">
        <f>'Generic Scoring'!BM34</f>
        <v>⚠️ HOLD</v>
      </c>
      <c r="L34" s="24" t="s">
        <v>160</v>
      </c>
      <c r="M34" t="s">
        <v>160</v>
      </c>
    </row>
    <row r="35" spans="1:13" x14ac:dyDescent="0.4">
      <c r="A35" t="str">
        <f>'Generic Scoring'!A35</f>
        <v>ConocoPhillips</v>
      </c>
      <c r="B35" t="str">
        <f>'Generic Scoring'!B35</f>
        <v>Energy</v>
      </c>
      <c r="C35">
        <f>'Generic Scoring'!AS35</f>
        <v>78</v>
      </c>
      <c r="D35">
        <f>'Generic Scoring'!AW35</f>
        <v>2</v>
      </c>
      <c r="E35">
        <f t="shared" si="0"/>
        <v>80</v>
      </c>
      <c r="F35" s="18">
        <f ca="1">'Generic Scoring'!BB35</f>
        <v>-0.19699812382739212</v>
      </c>
      <c r="G35">
        <f t="shared" ca="1" si="1"/>
        <v>34</v>
      </c>
      <c r="H35">
        <f t="shared" ca="1" si="2"/>
        <v>62</v>
      </c>
      <c r="I35" s="24" t="str">
        <f t="shared" ca="1" si="3"/>
        <v>⚪ Opcional</v>
      </c>
      <c r="J35" s="24" t="str">
        <f t="shared" ca="1" si="4"/>
        <v>B</v>
      </c>
      <c r="K35" s="24" t="str">
        <f>'Generic Scoring'!BM35</f>
        <v>⚠️ HOLD</v>
      </c>
      <c r="L35" s="24" t="s">
        <v>160</v>
      </c>
      <c r="M35" t="s">
        <v>160</v>
      </c>
    </row>
    <row r="36" spans="1:13" x14ac:dyDescent="0.4">
      <c r="A36" t="str">
        <f>'Generic Scoring'!A36</f>
        <v>Goldman Sachs</v>
      </c>
      <c r="B36" t="str">
        <f>'Generic Scoring'!B36</f>
        <v>Financials</v>
      </c>
      <c r="C36">
        <f>'Generic Scoring'!AS36</f>
        <v>71</v>
      </c>
      <c r="D36">
        <f>'Generic Scoring'!AW36</f>
        <v>6</v>
      </c>
      <c r="E36">
        <f t="shared" ref="E36:E64" si="5">MIN(100,MAX(0,C36+D36))</f>
        <v>77</v>
      </c>
      <c r="F36" s="18">
        <f ca="1">'Generic Scoring'!BB36</f>
        <v>-0.14908100748808711</v>
      </c>
      <c r="G36">
        <f t="shared" ref="G36:G64" ca="1" si="6">IF(F36="","",MIN(100,MAX(0,ROUND(60+F36*200/1.5,0))))</f>
        <v>40</v>
      </c>
      <c r="H36">
        <f t="shared" ref="H36:H64" ca="1" si="7">IF(OR(E36="",G36=""),"",MIN(100,MAX(0,ROUND(E36*0.6+G36*0.4,0))))</f>
        <v>62</v>
      </c>
      <c r="I36" s="24" t="str">
        <f t="shared" ref="I36:I64" ca="1" si="8">IF(H36="","",IF(H36&gt;=90,"🟢 Core A+",IF(H36&gt;=85,"🔵 Core A",IF(H36&gt;=75,"🟡 Satélite",IF(H36&gt;=60,"⚪ Opcional","🔴 Avoid")))))</f>
        <v>⚪ Opcional</v>
      </c>
      <c r="J36" s="24" t="str">
        <f t="shared" ref="J36:J64" ca="1" si="9">IF(H36="","",IF(H36&gt;=90,"A+",IF(H36&gt;=80,"A",IF(H36&gt;=70,"B+",IF(H36&gt;=60,"B",IF(H36&gt;=50,"C","D"))))))</f>
        <v>B</v>
      </c>
      <c r="K36" s="24" t="str">
        <f>'Generic Scoring'!BM36</f>
        <v>✅ BUY</v>
      </c>
      <c r="L36" s="24" t="s">
        <v>160</v>
      </c>
      <c r="M36" t="s">
        <v>160</v>
      </c>
    </row>
    <row r="37" spans="1:13" x14ac:dyDescent="0.4">
      <c r="A37" t="str">
        <f>'Generic Scoring'!A37</f>
        <v>Honeywell Intl</v>
      </c>
      <c r="B37" t="str">
        <f>'Generic Scoring'!B37</f>
        <v>Industrials</v>
      </c>
      <c r="C37">
        <f>'Generic Scoring'!AS37</f>
        <v>75</v>
      </c>
      <c r="D37">
        <f>'Generic Scoring'!AW37</f>
        <v>5</v>
      </c>
      <c r="E37">
        <f t="shared" si="5"/>
        <v>80</v>
      </c>
      <c r="F37" s="18">
        <f ca="1">'Generic Scoring'!BB37</f>
        <v>-0.12066438690766972</v>
      </c>
      <c r="G37">
        <f t="shared" ca="1" si="6"/>
        <v>44</v>
      </c>
      <c r="H37">
        <f t="shared" ca="1" si="7"/>
        <v>66</v>
      </c>
      <c r="I37" s="24" t="str">
        <f t="shared" ca="1" si="8"/>
        <v>⚪ Opcional</v>
      </c>
      <c r="J37" s="24" t="str">
        <f t="shared" ca="1" si="9"/>
        <v>B</v>
      </c>
      <c r="K37" s="24" t="str">
        <f>'Generic Scoring'!BM37</f>
        <v>⚠️ HOLD</v>
      </c>
      <c r="L37" s="24" t="s">
        <v>160</v>
      </c>
      <c r="M37" t="s">
        <v>160</v>
      </c>
    </row>
    <row r="38" spans="1:13" x14ac:dyDescent="0.4">
      <c r="A38" t="str">
        <f>'Generic Scoring'!A38</f>
        <v>Southern Company</v>
      </c>
      <c r="B38" t="str">
        <f>'Generic Scoring'!B38</f>
        <v>Utilities</v>
      </c>
      <c r="C38">
        <f>'Generic Scoring'!AS38</f>
        <v>68</v>
      </c>
      <c r="D38">
        <f>'Generic Scoring'!AW38</f>
        <v>3</v>
      </c>
      <c r="E38">
        <f t="shared" si="5"/>
        <v>71</v>
      </c>
      <c r="F38" s="18">
        <f ca="1">'Generic Scoring'!BB38</f>
        <v>-0.15112135820582689</v>
      </c>
      <c r="G38">
        <f t="shared" ca="1" si="6"/>
        <v>40</v>
      </c>
      <c r="H38">
        <f t="shared" ca="1" si="7"/>
        <v>59</v>
      </c>
      <c r="I38" s="24" t="str">
        <f t="shared" ca="1" si="8"/>
        <v>🔴 Avoid</v>
      </c>
      <c r="J38" s="24" t="str">
        <f t="shared" ca="1" si="9"/>
        <v>C</v>
      </c>
      <c r="K38" s="24" t="str">
        <f>'Generic Scoring'!BM38</f>
        <v>⚠️ HOLD</v>
      </c>
      <c r="L38" s="24" t="s">
        <v>160</v>
      </c>
      <c r="M38" t="s">
        <v>160</v>
      </c>
    </row>
    <row r="39" spans="1:13" x14ac:dyDescent="0.4">
      <c r="A39" t="str">
        <f>'Generic Scoring'!A39</f>
        <v>GE Vernova</v>
      </c>
      <c r="B39" t="str">
        <f>'Generic Scoring'!B39</f>
        <v>Industrials</v>
      </c>
      <c r="C39">
        <f>'Generic Scoring'!AS39</f>
        <v>66</v>
      </c>
      <c r="D39">
        <f>'Generic Scoring'!AW39</f>
        <v>2</v>
      </c>
      <c r="E39">
        <f t="shared" si="5"/>
        <v>68</v>
      </c>
      <c r="F39" s="18">
        <f ca="1">'Generic Scoring'!BB39</f>
        <v>-0.31280923584387027</v>
      </c>
      <c r="G39">
        <f t="shared" ca="1" si="6"/>
        <v>18</v>
      </c>
      <c r="H39">
        <f t="shared" ca="1" si="7"/>
        <v>48</v>
      </c>
      <c r="I39" s="24" t="str">
        <f t="shared" ca="1" si="8"/>
        <v>🔴 Avoid</v>
      </c>
      <c r="J39" s="24" t="str">
        <f t="shared" ca="1" si="9"/>
        <v>D</v>
      </c>
      <c r="K39" s="24" t="str">
        <f>'Generic Scoring'!BM39</f>
        <v>🟠 UNDERWEIGHT</v>
      </c>
      <c r="L39" s="24" t="s">
        <v>160</v>
      </c>
      <c r="M39" t="s">
        <v>160</v>
      </c>
    </row>
    <row r="40" spans="1:13" x14ac:dyDescent="0.4">
      <c r="A40" t="str">
        <f>'Generic Scoring'!A40</f>
        <v>Bloom Energy</v>
      </c>
      <c r="B40" t="str">
        <f>'Generic Scoring'!B40</f>
        <v>Industrials</v>
      </c>
      <c r="C40">
        <f>'Generic Scoring'!AS40</f>
        <v>35</v>
      </c>
      <c r="D40">
        <f>'Generic Scoring'!AW40</f>
        <v>-2</v>
      </c>
      <c r="E40">
        <f t="shared" si="5"/>
        <v>33</v>
      </c>
      <c r="F40" s="18">
        <f ca="1">'Generic Scoring'!BB40</f>
        <v>-0.5513347790323786</v>
      </c>
      <c r="G40">
        <f t="shared" ca="1" si="6"/>
        <v>0</v>
      </c>
      <c r="H40">
        <f t="shared" ca="1" si="7"/>
        <v>20</v>
      </c>
      <c r="I40" s="24" t="str">
        <f t="shared" ca="1" si="8"/>
        <v>🔴 Avoid</v>
      </c>
      <c r="J40" s="24" t="str">
        <f t="shared" ca="1" si="9"/>
        <v>D</v>
      </c>
      <c r="K40" s="24" t="str">
        <f>'Generic Scoring'!BM40</f>
        <v>🔴 SELL</v>
      </c>
      <c r="L40" s="24" t="s">
        <v>160</v>
      </c>
      <c r="M40" t="s">
        <v>160</v>
      </c>
    </row>
    <row r="41" spans="1:13" x14ac:dyDescent="0.4">
      <c r="A41" t="str">
        <f>'Generic Scoring'!A41</f>
        <v>Vertiv Holdings</v>
      </c>
      <c r="B41" t="str">
        <f>'Generic Scoring'!B41</f>
        <v>Industrials</v>
      </c>
      <c r="C41">
        <f>'Generic Scoring'!AS41</f>
        <v>74</v>
      </c>
      <c r="D41">
        <f>'Generic Scoring'!AW41</f>
        <v>3</v>
      </c>
      <c r="E41">
        <f t="shared" si="5"/>
        <v>77</v>
      </c>
      <c r="F41" s="18">
        <f ca="1">'Generic Scoring'!BB41</f>
        <v>-0.27099841521394613</v>
      </c>
      <c r="G41">
        <f t="shared" ca="1" si="6"/>
        <v>24</v>
      </c>
      <c r="H41">
        <f t="shared" ca="1" si="7"/>
        <v>56</v>
      </c>
      <c r="I41" s="24" t="str">
        <f t="shared" ca="1" si="8"/>
        <v>🔴 Avoid</v>
      </c>
      <c r="J41" s="24" t="str">
        <f t="shared" ca="1" si="9"/>
        <v>C</v>
      </c>
      <c r="K41" s="24" t="str">
        <f>'Generic Scoring'!BM41</f>
        <v>🟠 UNDERWEIGHT</v>
      </c>
      <c r="L41" s="24" t="s">
        <v>160</v>
      </c>
      <c r="M41" t="s">
        <v>160</v>
      </c>
    </row>
    <row r="42" spans="1:13" x14ac:dyDescent="0.4">
      <c r="A42" t="str">
        <f>'Generic Scoring'!A42</f>
        <v>Eaton Corp</v>
      </c>
      <c r="B42" t="str">
        <f>'Generic Scoring'!B42</f>
        <v>Industrials</v>
      </c>
      <c r="C42">
        <f>'Generic Scoring'!AS42</f>
        <v>75</v>
      </c>
      <c r="D42">
        <f>'Generic Scoring'!AW42</f>
        <v>3</v>
      </c>
      <c r="E42">
        <f t="shared" si="5"/>
        <v>78</v>
      </c>
      <c r="F42" s="18">
        <f ca="1">'Generic Scoring'!BB42</f>
        <v>-0.10109213105572674</v>
      </c>
      <c r="G42">
        <f t="shared" ca="1" si="6"/>
        <v>47</v>
      </c>
      <c r="H42">
        <f t="shared" ca="1" si="7"/>
        <v>66</v>
      </c>
      <c r="I42" s="24" t="str">
        <f t="shared" ca="1" si="8"/>
        <v>⚪ Opcional</v>
      </c>
      <c r="J42" s="24" t="str">
        <f t="shared" ca="1" si="9"/>
        <v>B</v>
      </c>
      <c r="K42" s="24" t="str">
        <f>'Generic Scoring'!BM42</f>
        <v>⚠️ HOLD</v>
      </c>
      <c r="L42" s="24" t="s">
        <v>160</v>
      </c>
      <c r="M42" t="s">
        <v>160</v>
      </c>
    </row>
    <row r="43" spans="1:13" x14ac:dyDescent="0.4">
      <c r="A43" t="str">
        <f>'Generic Scoring'!A43</f>
        <v>IREN Ltd</v>
      </c>
      <c r="B43" t="str">
        <f>'Generic Scoring'!B43</f>
        <v>Information Technology</v>
      </c>
      <c r="C43">
        <f>'Generic Scoring'!AS43</f>
        <v>48</v>
      </c>
      <c r="D43">
        <f>'Generic Scoring'!AW43</f>
        <v>-2</v>
      </c>
      <c r="E43">
        <f t="shared" si="5"/>
        <v>46</v>
      </c>
      <c r="F43" s="18">
        <f ca="1">'Generic Scoring'!BB43</f>
        <v>-3.8718291054739729E-2</v>
      </c>
      <c r="G43">
        <f t="shared" ca="1" si="6"/>
        <v>55</v>
      </c>
      <c r="H43">
        <f t="shared" ca="1" si="7"/>
        <v>50</v>
      </c>
      <c r="I43" s="24" t="str">
        <f t="shared" ca="1" si="8"/>
        <v>🔴 Avoid</v>
      </c>
      <c r="J43" s="24" t="str">
        <f t="shared" ca="1" si="9"/>
        <v>C</v>
      </c>
      <c r="K43" s="24" t="str">
        <f>'Generic Scoring'!BM43</f>
        <v>🔴 SELL</v>
      </c>
      <c r="L43" s="24" t="s">
        <v>160</v>
      </c>
      <c r="M43" t="s">
        <v>160</v>
      </c>
    </row>
    <row r="44" spans="1:13" x14ac:dyDescent="0.4">
      <c r="A44" t="str">
        <f>'Generic Scoring'!A44</f>
        <v>Core Scientific</v>
      </c>
      <c r="B44" t="str">
        <f>'Generic Scoring'!B44</f>
        <v>Information Technology</v>
      </c>
      <c r="C44">
        <f>'Generic Scoring'!AS44</f>
        <v>24</v>
      </c>
      <c r="D44">
        <f>'Generic Scoring'!AW44</f>
        <v>-3</v>
      </c>
      <c r="E44">
        <f t="shared" si="5"/>
        <v>21</v>
      </c>
      <c r="F44" s="18">
        <f ca="1">'Generic Scoring'!BB44</f>
        <v>-0.1133628879037365</v>
      </c>
      <c r="G44">
        <f t="shared" ca="1" si="6"/>
        <v>45</v>
      </c>
      <c r="H44">
        <f t="shared" ca="1" si="7"/>
        <v>31</v>
      </c>
      <c r="I44" s="24" t="str">
        <f t="shared" ca="1" si="8"/>
        <v>🔴 Avoid</v>
      </c>
      <c r="J44" s="24" t="str">
        <f t="shared" ca="1" si="9"/>
        <v>D</v>
      </c>
      <c r="K44" s="24" t="str">
        <f>'Generic Scoring'!BM44</f>
        <v>🔴 SELL</v>
      </c>
      <c r="L44" s="24" t="s">
        <v>160</v>
      </c>
      <c r="M44" t="s">
        <v>160</v>
      </c>
    </row>
    <row r="45" spans="1:13" x14ac:dyDescent="0.4">
      <c r="A45" t="str">
        <f>'Generic Scoring'!A45</f>
        <v>Kraken Robotics</v>
      </c>
      <c r="B45" t="str">
        <f>'Generic Scoring'!B45</f>
        <v>Industrials</v>
      </c>
      <c r="C45">
        <f>'Generic Scoring'!AS45</f>
        <v>68</v>
      </c>
      <c r="D45">
        <f>'Generic Scoring'!AW45</f>
        <v>3</v>
      </c>
      <c r="E45">
        <f t="shared" si="5"/>
        <v>71</v>
      </c>
      <c r="F45" s="18">
        <f ca="1">'Generic Scoring'!BB45</f>
        <v>-0.27095990279465376</v>
      </c>
      <c r="G45">
        <f t="shared" ca="1" si="6"/>
        <v>24</v>
      </c>
      <c r="H45">
        <f t="shared" ca="1" si="7"/>
        <v>52</v>
      </c>
      <c r="I45" s="24" t="str">
        <f t="shared" ca="1" si="8"/>
        <v>🔴 Avoid</v>
      </c>
      <c r="J45" s="24" t="str">
        <f t="shared" ca="1" si="9"/>
        <v>C</v>
      </c>
      <c r="K45" s="24" t="str">
        <f>'Generic Scoring'!BM45</f>
        <v>🟠 UNDERWEIGHT</v>
      </c>
      <c r="L45" s="24" t="s">
        <v>160</v>
      </c>
      <c r="M45" t="s">
        <v>160</v>
      </c>
    </row>
    <row r="46" spans="1:13" x14ac:dyDescent="0.4">
      <c r="A46" t="str">
        <f>'Generic Scoring'!A46</f>
        <v>Brookfield Corp</v>
      </c>
      <c r="B46" t="str">
        <f>'Generic Scoring'!B46</f>
        <v>Financials</v>
      </c>
      <c r="C46">
        <f>'Generic Scoring'!AS46</f>
        <v>44</v>
      </c>
      <c r="D46">
        <f>'Generic Scoring'!AW46</f>
        <v>7</v>
      </c>
      <c r="E46">
        <f t="shared" si="5"/>
        <v>51</v>
      </c>
      <c r="F46" s="18">
        <f ca="1">'Generic Scoring'!BB46</f>
        <v>-1.7288444040036446E-2</v>
      </c>
      <c r="G46">
        <f t="shared" ca="1" si="6"/>
        <v>58</v>
      </c>
      <c r="H46">
        <f t="shared" ca="1" si="7"/>
        <v>54</v>
      </c>
      <c r="I46" s="24" t="str">
        <f t="shared" ca="1" si="8"/>
        <v>🔴 Avoid</v>
      </c>
      <c r="J46" s="24" t="str">
        <f t="shared" ca="1" si="9"/>
        <v>C</v>
      </c>
      <c r="K46" s="24" t="str">
        <f>'Generic Scoring'!BM46</f>
        <v>🟠 UNDERWEIGHT</v>
      </c>
      <c r="L46" s="24" t="s">
        <v>160</v>
      </c>
      <c r="M46" t="s">
        <v>160</v>
      </c>
    </row>
    <row r="47" spans="1:13" x14ac:dyDescent="0.4">
      <c r="A47" t="str">
        <f>'Generic Scoring'!A47</f>
        <v>S&amp;P Global Inc</v>
      </c>
      <c r="B47" t="str">
        <f>'Generic Scoring'!B47</f>
        <v>Financials</v>
      </c>
      <c r="C47">
        <f>'Generic Scoring'!AS47</f>
        <v>71</v>
      </c>
      <c r="D47">
        <f>'Generic Scoring'!AW47</f>
        <v>9</v>
      </c>
      <c r="E47">
        <f t="shared" si="5"/>
        <v>80</v>
      </c>
      <c r="F47" s="18">
        <f ca="1">'Generic Scoring'!BB47</f>
        <v>0.38198569523578618</v>
      </c>
      <c r="G47">
        <f t="shared" ca="1" si="6"/>
        <v>100</v>
      </c>
      <c r="H47">
        <f t="shared" ca="1" si="7"/>
        <v>88</v>
      </c>
      <c r="I47" s="24" t="str">
        <f t="shared" ca="1" si="8"/>
        <v>🔵 Core A</v>
      </c>
      <c r="J47" s="24" t="str">
        <f t="shared" ca="1" si="9"/>
        <v>A</v>
      </c>
      <c r="K47" s="24" t="str">
        <f>'Generic Scoring'!BM47</f>
        <v>⚠️ HOLD</v>
      </c>
      <c r="L47" s="24" t="s">
        <v>160</v>
      </c>
      <c r="M47" t="s">
        <v>160</v>
      </c>
    </row>
    <row r="48" spans="1:13" x14ac:dyDescent="0.4">
      <c r="A48" t="str">
        <f>'Generic Scoring'!A48</f>
        <v>Safran SA</v>
      </c>
      <c r="B48" t="str">
        <f>'Generic Scoring'!B48</f>
        <v>Industrials</v>
      </c>
      <c r="C48">
        <f>'Generic Scoring'!AS48</f>
        <v>78</v>
      </c>
      <c r="D48">
        <f>'Generic Scoring'!AW48</f>
        <v>9</v>
      </c>
      <c r="E48">
        <f t="shared" si="5"/>
        <v>87</v>
      </c>
      <c r="F48" s="18">
        <f ca="1">'Generic Scoring'!BB48</f>
        <v>0.29773691654879769</v>
      </c>
      <c r="G48">
        <f t="shared" ca="1" si="6"/>
        <v>100</v>
      </c>
      <c r="H48">
        <f t="shared" ca="1" si="7"/>
        <v>92</v>
      </c>
      <c r="I48" s="24" t="str">
        <f t="shared" ca="1" si="8"/>
        <v>🟢 Core A+</v>
      </c>
      <c r="J48" s="24" t="str">
        <f t="shared" ca="1" si="9"/>
        <v>A+</v>
      </c>
      <c r="K48" s="24" t="str">
        <f>'Generic Scoring'!BM48</f>
        <v>✅ BUY</v>
      </c>
      <c r="L48" s="24" t="s">
        <v>160</v>
      </c>
      <c r="M48" t="s">
        <v>160</v>
      </c>
    </row>
    <row r="49" spans="1:13" x14ac:dyDescent="0.4">
      <c r="A49" t="str">
        <f>'Generic Scoring'!A49</f>
        <v>General Electric Co</v>
      </c>
      <c r="B49" t="str">
        <f>'Generic Scoring'!B49</f>
        <v>Industrials</v>
      </c>
      <c r="C49">
        <f>'Generic Scoring'!AS49</f>
        <v>75</v>
      </c>
      <c r="D49">
        <f>'Generic Scoring'!AW49</f>
        <v>10</v>
      </c>
      <c r="E49">
        <f t="shared" si="5"/>
        <v>85</v>
      </c>
      <c r="F49" s="18">
        <f ca="1">'Generic Scoring'!BB49</f>
        <v>0.17670682730923695</v>
      </c>
      <c r="G49">
        <f t="shared" ca="1" si="6"/>
        <v>84</v>
      </c>
      <c r="H49">
        <f t="shared" ca="1" si="7"/>
        <v>85</v>
      </c>
      <c r="I49" s="24" t="str">
        <f t="shared" ca="1" si="8"/>
        <v>🔵 Core A</v>
      </c>
      <c r="J49" s="24" t="str">
        <f t="shared" ca="1" si="9"/>
        <v>A</v>
      </c>
      <c r="K49" s="24" t="str">
        <f>'Generic Scoring'!BM49</f>
        <v>✅ BUY</v>
      </c>
      <c r="L49" s="24" t="s">
        <v>160</v>
      </c>
      <c r="M49" t="s">
        <v>160</v>
      </c>
    </row>
    <row r="50" spans="1:13" x14ac:dyDescent="0.4">
      <c r="A50" t="str">
        <f>'Generic Scoring'!A50</f>
        <v>Taiwan Semiconductor</v>
      </c>
      <c r="B50" t="str">
        <f>'Generic Scoring'!B50</f>
        <v>Information Technology</v>
      </c>
      <c r="C50">
        <f>'Generic Scoring'!AS50</f>
        <v>81</v>
      </c>
      <c r="D50">
        <f>'Generic Scoring'!AW50</f>
        <v>10</v>
      </c>
      <c r="E50">
        <f t="shared" si="5"/>
        <v>91</v>
      </c>
      <c r="F50" s="18">
        <f ca="1">'Generic Scoring'!BB50</f>
        <v>0.31244058753181436</v>
      </c>
      <c r="G50">
        <f t="shared" ca="1" si="6"/>
        <v>100</v>
      </c>
      <c r="H50">
        <f t="shared" ca="1" si="7"/>
        <v>95</v>
      </c>
      <c r="I50" s="24" t="str">
        <f t="shared" ca="1" si="8"/>
        <v>🟢 Core A+</v>
      </c>
      <c r="J50" s="24" t="str">
        <f t="shared" ca="1" si="9"/>
        <v>A+</v>
      </c>
      <c r="K50" s="24" t="str">
        <f>'Generic Scoring'!BM50</f>
        <v>🚀 STRONG BUY</v>
      </c>
      <c r="L50" s="24" t="s">
        <v>160</v>
      </c>
      <c r="M50" t="s">
        <v>160</v>
      </c>
    </row>
    <row r="51" spans="1:13" x14ac:dyDescent="0.4">
      <c r="A51" t="str">
        <f>'Generic Scoring'!A51</f>
        <v>Moody's Corp</v>
      </c>
      <c r="B51" t="str">
        <f>'Generic Scoring'!B51</f>
        <v>Financials</v>
      </c>
      <c r="C51">
        <f>'Generic Scoring'!AS51</f>
        <v>77</v>
      </c>
      <c r="D51">
        <f>'Generic Scoring'!AW51</f>
        <v>10</v>
      </c>
      <c r="E51">
        <f t="shared" si="5"/>
        <v>87</v>
      </c>
      <c r="F51" s="18">
        <f ca="1">'Generic Scoring'!BB51</f>
        <v>0.27232349403164624</v>
      </c>
      <c r="G51">
        <f t="shared" ca="1" si="6"/>
        <v>96</v>
      </c>
      <c r="H51">
        <f t="shared" ca="1" si="7"/>
        <v>91</v>
      </c>
      <c r="I51" s="24" t="str">
        <f t="shared" ca="1" si="8"/>
        <v>🟢 Core A+</v>
      </c>
      <c r="J51" s="24" t="str">
        <f t="shared" ca="1" si="9"/>
        <v>A+</v>
      </c>
      <c r="K51" s="24" t="str">
        <f>'Generic Scoring'!BM51</f>
        <v>⚠️ HOLD</v>
      </c>
      <c r="L51" s="24" t="s">
        <v>160</v>
      </c>
      <c r="M51" t="s">
        <v>160</v>
      </c>
    </row>
    <row r="52" spans="1:13" x14ac:dyDescent="0.4">
      <c r="A52" t="str">
        <f>'Generic Scoring'!A52</f>
        <v>L'Oreal SA</v>
      </c>
      <c r="B52" t="str">
        <f>'Generic Scoring'!B52</f>
        <v>Consumer Staples</v>
      </c>
      <c r="C52">
        <f>'Generic Scoring'!AS52</f>
        <v>77</v>
      </c>
      <c r="D52">
        <f>'Generic Scoring'!AW52</f>
        <v>10</v>
      </c>
      <c r="E52">
        <f t="shared" si="5"/>
        <v>87</v>
      </c>
      <c r="F52" s="18">
        <f ca="1">'Generic Scoring'!BB52</f>
        <v>543.15584415584419</v>
      </c>
      <c r="G52">
        <f t="shared" ca="1" si="6"/>
        <v>100</v>
      </c>
      <c r="H52">
        <f t="shared" ca="1" si="7"/>
        <v>92</v>
      </c>
      <c r="I52" s="24" t="str">
        <f t="shared" ca="1" si="8"/>
        <v>🟢 Core A+</v>
      </c>
      <c r="J52" s="24" t="str">
        <f t="shared" ca="1" si="9"/>
        <v>A+</v>
      </c>
      <c r="K52" s="24" t="str">
        <f>'Generic Scoring'!BM52</f>
        <v>⚠️ HOLD</v>
      </c>
      <c r="L52" s="24" t="s">
        <v>160</v>
      </c>
      <c r="M52" t="s">
        <v>160</v>
      </c>
    </row>
    <row r="53" spans="1:13" x14ac:dyDescent="0.4">
      <c r="A53" t="str">
        <f>'Generic Scoring'!A53</f>
        <v>Mastercard Inc</v>
      </c>
      <c r="B53" t="str">
        <f>'Generic Scoring'!B53</f>
        <v>Financials</v>
      </c>
      <c r="C53">
        <f>'Generic Scoring'!AS53</f>
        <v>78</v>
      </c>
      <c r="D53">
        <f>'Generic Scoring'!AW53</f>
        <v>10</v>
      </c>
      <c r="E53">
        <f t="shared" si="5"/>
        <v>88</v>
      </c>
      <c r="F53" s="18">
        <f ca="1">'Generic Scoring'!BB53</f>
        <v>75341.465753424665</v>
      </c>
      <c r="G53">
        <f t="shared" ca="1" si="6"/>
        <v>100</v>
      </c>
      <c r="H53">
        <f t="shared" ca="1" si="7"/>
        <v>93</v>
      </c>
      <c r="I53" s="24" t="str">
        <f t="shared" ca="1" si="8"/>
        <v>🟢 Core A+</v>
      </c>
      <c r="J53" s="24" t="str">
        <f t="shared" ca="1" si="9"/>
        <v>A+</v>
      </c>
      <c r="K53" s="24" t="str">
        <f>'Generic Scoring'!BM53</f>
        <v>⚠️ HOLD</v>
      </c>
      <c r="L53" s="24" t="s">
        <v>160</v>
      </c>
      <c r="M53" t="s">
        <v>160</v>
      </c>
    </row>
    <row r="54" spans="1:13" x14ac:dyDescent="0.4">
      <c r="A54" t="str">
        <f>'Generic Scoring'!A54</f>
        <v>Schneider Electric SE</v>
      </c>
      <c r="B54" t="str">
        <f>'Generic Scoring'!B54</f>
        <v>Industrials</v>
      </c>
      <c r="C54">
        <f>'Generic Scoring'!AS54</f>
        <v>72</v>
      </c>
      <c r="D54">
        <f>'Generic Scoring'!AW54</f>
        <v>9</v>
      </c>
      <c r="E54">
        <f t="shared" si="5"/>
        <v>81</v>
      </c>
      <c r="F54" s="18">
        <f ca="1">'Generic Scoring'!BB54</f>
        <v>6.5870816457045359E-2</v>
      </c>
      <c r="G54">
        <f t="shared" ca="1" si="6"/>
        <v>69</v>
      </c>
      <c r="H54">
        <f t="shared" ca="1" si="7"/>
        <v>76</v>
      </c>
      <c r="I54" s="24" t="str">
        <f t="shared" ca="1" si="8"/>
        <v>🟡 Satélite</v>
      </c>
      <c r="J54" s="24" t="str">
        <f t="shared" ca="1" si="9"/>
        <v>B+</v>
      </c>
      <c r="K54" s="24" t="str">
        <f>'Generic Scoring'!BM54</f>
        <v>✅ BUY</v>
      </c>
      <c r="L54" s="24" t="s">
        <v>160</v>
      </c>
      <c r="M54" t="s">
        <v>160</v>
      </c>
    </row>
    <row r="55" spans="1:13" x14ac:dyDescent="0.4">
      <c r="A55" t="str">
        <f>'Generic Scoring'!A55</f>
        <v>Stryker Corp</v>
      </c>
      <c r="B55" t="str">
        <f>'Generic Scoring'!B55</f>
        <v>Health Care</v>
      </c>
      <c r="C55">
        <f>'Generic Scoring'!AS55</f>
        <v>68</v>
      </c>
      <c r="D55">
        <f>'Generic Scoring'!AW55</f>
        <v>9</v>
      </c>
      <c r="E55">
        <f t="shared" si="5"/>
        <v>77</v>
      </c>
      <c r="F55" s="18">
        <f ca="1">'Generic Scoring'!BB55</f>
        <v>-5.0138271011181935E-2</v>
      </c>
      <c r="G55">
        <f t="shared" ca="1" si="6"/>
        <v>53</v>
      </c>
      <c r="H55">
        <f t="shared" ca="1" si="7"/>
        <v>67</v>
      </c>
      <c r="I55" s="24" t="str">
        <f t="shared" ca="1" si="8"/>
        <v>⚪ Opcional</v>
      </c>
      <c r="J55" s="24" t="str">
        <f t="shared" ca="1" si="9"/>
        <v>B</v>
      </c>
      <c r="K55" s="24" t="str">
        <f>'Generic Scoring'!BM55</f>
        <v>✅ BUY</v>
      </c>
      <c r="L55" s="24" t="s">
        <v>160</v>
      </c>
      <c r="M55" t="s">
        <v>160</v>
      </c>
    </row>
    <row r="56" spans="1:13" x14ac:dyDescent="0.4">
      <c r="A56" t="str">
        <f>'Generic Scoring'!A56</f>
        <v>Hermes International</v>
      </c>
      <c r="B56" t="str">
        <f>'Generic Scoring'!B56</f>
        <v>Consumer Discretionary</v>
      </c>
      <c r="C56">
        <f>'Generic Scoring'!AS56</f>
        <v>76</v>
      </c>
      <c r="D56">
        <f>'Generic Scoring'!AW56</f>
        <v>10</v>
      </c>
      <c r="E56">
        <f t="shared" si="5"/>
        <v>86</v>
      </c>
      <c r="F56" s="18">
        <f ca="1">'Generic Scoring'!BB56</f>
        <v>-2.7093596059113302E-2</v>
      </c>
      <c r="G56">
        <f t="shared" ca="1" si="6"/>
        <v>56</v>
      </c>
      <c r="H56">
        <f t="shared" ca="1" si="7"/>
        <v>74</v>
      </c>
      <c r="I56" s="24" t="str">
        <f t="shared" ca="1" si="8"/>
        <v>⚪ Opcional</v>
      </c>
      <c r="J56" s="24" t="str">
        <f t="shared" ca="1" si="9"/>
        <v>B+</v>
      </c>
      <c r="K56" s="24" t="str">
        <f>'Generic Scoring'!BM56</f>
        <v>⚠️ HOLD</v>
      </c>
      <c r="L56" s="24" t="s">
        <v>160</v>
      </c>
      <c r="M56" t="s">
        <v>160</v>
      </c>
    </row>
    <row r="57" spans="1:13" x14ac:dyDescent="0.4">
      <c r="A57" t="str">
        <f>'Generic Scoring'!A57</f>
        <v>ASML Holding NV</v>
      </c>
      <c r="B57" t="str">
        <f>'Generic Scoring'!B57</f>
        <v>Information Technology</v>
      </c>
      <c r="C57">
        <f>'Generic Scoring'!AS57</f>
        <v>77</v>
      </c>
      <c r="D57">
        <f>'Generic Scoring'!AW57</f>
        <v>10</v>
      </c>
      <c r="E57">
        <f t="shared" si="5"/>
        <v>87</v>
      </c>
      <c r="F57" s="18">
        <f ca="1">'Generic Scoring'!BB57</f>
        <v>-0.12709497206703904</v>
      </c>
      <c r="G57">
        <f t="shared" ca="1" si="6"/>
        <v>43</v>
      </c>
      <c r="H57">
        <f t="shared" ca="1" si="7"/>
        <v>69</v>
      </c>
      <c r="I57" s="24" t="str">
        <f t="shared" ca="1" si="8"/>
        <v>⚪ Opcional</v>
      </c>
      <c r="J57" s="24" t="str">
        <f t="shared" ca="1" si="9"/>
        <v>B</v>
      </c>
      <c r="K57" s="24" t="str">
        <f>'Generic Scoring'!BM57</f>
        <v>⚠️ HOLD</v>
      </c>
      <c r="L57" s="24" t="s">
        <v>160</v>
      </c>
      <c r="M57" t="s">
        <v>160</v>
      </c>
    </row>
    <row r="58" spans="1:13" x14ac:dyDescent="0.4">
      <c r="A58" t="str">
        <f>'Generic Scoring'!A58</f>
        <v>Vinci SA</v>
      </c>
      <c r="B58" t="str">
        <f>'Generic Scoring'!B58</f>
        <v>Industrials</v>
      </c>
      <c r="C58">
        <f>'Generic Scoring'!AS58</f>
        <v>72</v>
      </c>
      <c r="D58">
        <f>'Generic Scoring'!AW58</f>
        <v>9</v>
      </c>
      <c r="E58">
        <f t="shared" si="5"/>
        <v>81</v>
      </c>
      <c r="F58" s="18">
        <f ca="1">'Generic Scoring'!BB58</f>
        <v>5.8917197452229349E-2</v>
      </c>
      <c r="G58">
        <f t="shared" ca="1" si="6"/>
        <v>68</v>
      </c>
      <c r="H58">
        <f t="shared" ca="1" si="7"/>
        <v>76</v>
      </c>
      <c r="I58" s="24" t="str">
        <f t="shared" ca="1" si="8"/>
        <v>🟡 Satélite</v>
      </c>
      <c r="J58" s="24" t="str">
        <f t="shared" ca="1" si="9"/>
        <v>B+</v>
      </c>
      <c r="K58" s="24" t="str">
        <f>'Generic Scoring'!BM58</f>
        <v>⚠️ HOLD</v>
      </c>
      <c r="L58" s="24" t="s">
        <v>160</v>
      </c>
      <c r="M58" t="s">
        <v>160</v>
      </c>
    </row>
    <row r="59" spans="1:13" x14ac:dyDescent="0.4">
      <c r="A59" t="str">
        <f>'Generic Scoring'!A59</f>
        <v>Ferrovial SE</v>
      </c>
      <c r="B59" t="str">
        <f>'Generic Scoring'!B59</f>
        <v>Industrials</v>
      </c>
      <c r="C59">
        <f>'Generic Scoring'!AS59</f>
        <v>53</v>
      </c>
      <c r="D59">
        <f>'Generic Scoring'!AW59</f>
        <v>6</v>
      </c>
      <c r="E59">
        <f t="shared" si="5"/>
        <v>59</v>
      </c>
      <c r="F59" s="18">
        <f ca="1">'Generic Scoring'!BB59</f>
        <v>-4.5953251709333766E-2</v>
      </c>
      <c r="G59">
        <f t="shared" ca="1" si="6"/>
        <v>54</v>
      </c>
      <c r="H59">
        <f t="shared" ca="1" si="7"/>
        <v>57</v>
      </c>
      <c r="I59" s="24" t="str">
        <f t="shared" ca="1" si="8"/>
        <v>🔴 Avoid</v>
      </c>
      <c r="J59" s="24" t="str">
        <f t="shared" ca="1" si="9"/>
        <v>C</v>
      </c>
      <c r="K59" s="24" t="str">
        <f>'Generic Scoring'!BM59</f>
        <v>🟠 UNDERWEIGHT</v>
      </c>
      <c r="L59" s="24" t="s">
        <v>160</v>
      </c>
      <c r="M59" t="s">
        <v>160</v>
      </c>
    </row>
    <row r="60" spans="1:13" x14ac:dyDescent="0.4">
      <c r="A60" t="str">
        <f>'Generic Scoring'!A60</f>
        <v>Tesla Inc</v>
      </c>
      <c r="B60" t="str">
        <f>'Generic Scoring'!B60</f>
        <v>Consumer Discretionary</v>
      </c>
      <c r="C60">
        <f>'Generic Scoring'!AS60</f>
        <v>50</v>
      </c>
      <c r="D60">
        <f>'Generic Scoring'!AW60</f>
        <v>4</v>
      </c>
      <c r="E60">
        <f t="shared" si="5"/>
        <v>54</v>
      </c>
      <c r="F60" s="18">
        <f ca="1">'Generic Scoring'!BB60</f>
        <v>7.4950955362661539E-2</v>
      </c>
      <c r="G60">
        <f t="shared" ca="1" si="6"/>
        <v>70</v>
      </c>
      <c r="H60">
        <f t="shared" ca="1" si="7"/>
        <v>60</v>
      </c>
      <c r="I60" s="24" t="str">
        <f t="shared" ca="1" si="8"/>
        <v>⚪ Opcional</v>
      </c>
      <c r="J60" s="24" t="str">
        <f t="shared" ca="1" si="9"/>
        <v>B</v>
      </c>
      <c r="K60" s="24" t="str">
        <f>'Generic Scoring'!BM60</f>
        <v>🟠 UNDERWEIGHT</v>
      </c>
      <c r="L60" s="24" t="s">
        <v>160</v>
      </c>
      <c r="M60" t="s">
        <v>160</v>
      </c>
    </row>
    <row r="61" spans="1:13" x14ac:dyDescent="0.4">
      <c r="A61" t="str">
        <f>'Generic Scoring'!A61</f>
        <v>Intuitive Surgical Inc</v>
      </c>
      <c r="B61" t="str">
        <f>'Generic Scoring'!B61</f>
        <v>Health Care</v>
      </c>
      <c r="C61">
        <f>'Generic Scoring'!AS61</f>
        <v>73</v>
      </c>
      <c r="D61">
        <f>'Generic Scoring'!AW61</f>
        <v>9</v>
      </c>
      <c r="E61">
        <f t="shared" si="5"/>
        <v>82</v>
      </c>
      <c r="F61" s="18">
        <f ca="1">'Generic Scoring'!BB61</f>
        <v>-0.19325578913669833</v>
      </c>
      <c r="G61">
        <f t="shared" ca="1" si="6"/>
        <v>34</v>
      </c>
      <c r="H61">
        <f t="shared" ca="1" si="7"/>
        <v>63</v>
      </c>
      <c r="I61" s="24" t="str">
        <f t="shared" ca="1" si="8"/>
        <v>⚪ Opcional</v>
      </c>
      <c r="J61" s="24" t="str">
        <f t="shared" ca="1" si="9"/>
        <v>B</v>
      </c>
      <c r="K61" s="24" t="str">
        <f>'Generic Scoring'!BM61</f>
        <v>⚠️ HOLD</v>
      </c>
      <c r="L61" s="24" t="s">
        <v>160</v>
      </c>
      <c r="M61" t="s">
        <v>160</v>
      </c>
    </row>
    <row r="62" spans="1:13" x14ac:dyDescent="0.4">
      <c r="A62" t="str">
        <f>'Generic Scoring'!A62</f>
        <v>IDEXX Laboratories Inc</v>
      </c>
      <c r="B62" t="str">
        <f>'Generic Scoring'!B62</f>
        <v>Health Care</v>
      </c>
      <c r="C62">
        <f>'Generic Scoring'!AS62</f>
        <v>71</v>
      </c>
      <c r="D62">
        <f>'Generic Scoring'!AW62</f>
        <v>9</v>
      </c>
      <c r="E62">
        <f t="shared" si="5"/>
        <v>80</v>
      </c>
      <c r="F62" s="18">
        <f ca="1">'Generic Scoring'!BB62</f>
        <v>-0.1801705942891032</v>
      </c>
      <c r="G62">
        <f t="shared" ca="1" si="6"/>
        <v>36</v>
      </c>
      <c r="H62">
        <f t="shared" ca="1" si="7"/>
        <v>62</v>
      </c>
      <c r="I62" s="24" t="str">
        <f t="shared" ca="1" si="8"/>
        <v>⚪ Opcional</v>
      </c>
      <c r="J62" s="24" t="str">
        <f t="shared" ca="1" si="9"/>
        <v>B</v>
      </c>
      <c r="K62" s="24" t="str">
        <f>'Generic Scoring'!BM62</f>
        <v>⚠️ HOLD</v>
      </c>
      <c r="L62" s="24" t="s">
        <v>160</v>
      </c>
      <c r="M62" t="s">
        <v>160</v>
      </c>
    </row>
    <row r="63" spans="1:13" x14ac:dyDescent="0.4">
      <c r="A63" t="str">
        <f>'Generic Scoring'!A63</f>
        <v>AST SpaceMobile Inc</v>
      </c>
      <c r="B63" t="str">
        <f>'Generic Scoring'!B63</f>
        <v>Communication Services</v>
      </c>
      <c r="C63">
        <f>'Generic Scoring'!AS63</f>
        <v>37</v>
      </c>
      <c r="D63">
        <f>'Generic Scoring'!AW63</f>
        <v>-10</v>
      </c>
      <c r="E63">
        <f t="shared" si="5"/>
        <v>27</v>
      </c>
      <c r="F63" s="18">
        <f ca="1">'Generic Scoring'!BB63</f>
        <v>-8.9460505349419531E-2</v>
      </c>
      <c r="G63">
        <f t="shared" ca="1" si="6"/>
        <v>48</v>
      </c>
      <c r="H63">
        <f t="shared" ca="1" si="7"/>
        <v>35</v>
      </c>
      <c r="I63" s="24" t="str">
        <f t="shared" ca="1" si="8"/>
        <v>🔴 Avoid</v>
      </c>
      <c r="J63" s="24" t="str">
        <f t="shared" ca="1" si="9"/>
        <v>D</v>
      </c>
      <c r="K63" s="24" t="str">
        <f>'Generic Scoring'!BM63</f>
        <v>⚠️ HOLD</v>
      </c>
      <c r="L63" s="24" t="s">
        <v>160</v>
      </c>
      <c r="M63" t="s">
        <v>160</v>
      </c>
    </row>
    <row r="64" spans="1:13" x14ac:dyDescent="0.4">
      <c r="A64" t="str">
        <f>'Generic Scoring'!A64</f>
        <v>Palantir Technologies Inc</v>
      </c>
      <c r="B64" t="str">
        <f>'Generic Scoring'!B64</f>
        <v>Information Technology</v>
      </c>
      <c r="C64">
        <f>'Generic Scoring'!AS64</f>
        <v>64</v>
      </c>
      <c r="D64">
        <f>'Generic Scoring'!AW64</f>
        <v>8</v>
      </c>
      <c r="E64">
        <f t="shared" si="5"/>
        <v>72</v>
      </c>
      <c r="F64" s="18">
        <f ca="1">'Generic Scoring'!BB64</f>
        <v>3.6866359447004594E-2</v>
      </c>
      <c r="G64">
        <f t="shared" ca="1" si="6"/>
        <v>65</v>
      </c>
      <c r="H64">
        <f t="shared" ca="1" si="7"/>
        <v>69</v>
      </c>
      <c r="I64" s="24" t="str">
        <f t="shared" ca="1" si="8"/>
        <v>⚪ Opcional</v>
      </c>
      <c r="J64" s="24" t="str">
        <f t="shared" ca="1" si="9"/>
        <v>B</v>
      </c>
      <c r="K64" s="24" t="str">
        <f>'Generic Scoring'!BM64</f>
        <v>⚠️ HOLD</v>
      </c>
      <c r="L64" s="24" t="s">
        <v>160</v>
      </c>
      <c r="M64" t="s">
        <v>160</v>
      </c>
    </row>
    <row r="70" hidden="1" outlineLevel="1" x14ac:dyDescent="0.4"/>
    <row r="71" hidden="1" outlineLevel="1" x14ac:dyDescent="0.4"/>
    <row r="72" hidden="1" outlineLevel="1" x14ac:dyDescent="0.4"/>
    <row r="73" hidden="1" outlineLevel="1" x14ac:dyDescent="0.4"/>
    <row r="74" hidden="1" outlineLevel="1" x14ac:dyDescent="0.4"/>
    <row r="75" hidden="1" outlineLevel="1" x14ac:dyDescent="0.4"/>
    <row r="76" hidden="1" outlineLevel="1" x14ac:dyDescent="0.4"/>
    <row r="77" hidden="1" outlineLevel="1" x14ac:dyDescent="0.4"/>
    <row r="78" hidden="1" outlineLevel="1" x14ac:dyDescent="0.4"/>
    <row r="79" hidden="1" outlineLevel="1" x14ac:dyDescent="0.4"/>
    <row r="80" hidden="1" outlineLevel="1" x14ac:dyDescent="0.4"/>
    <row r="81" hidden="1" outlineLevel="1" x14ac:dyDescent="0.4"/>
    <row r="82" hidden="1" outlineLevel="1" x14ac:dyDescent="0.4"/>
    <row r="83" hidden="1" outlineLevel="1" x14ac:dyDescent="0.4"/>
    <row r="84" hidden="1" outlineLevel="1" x14ac:dyDescent="0.4"/>
    <row r="85" hidden="1" outlineLevel="1" x14ac:dyDescent="0.4"/>
    <row r="86" hidden="1" outlineLevel="1" x14ac:dyDescent="0.4"/>
    <row r="87" collapsed="1" x14ac:dyDescent="0.4"/>
  </sheetData>
  <mergeCells count="1">
    <mergeCell ref="I1:L1"/>
  </mergeCells>
  <conditionalFormatting sqref="G4:G64">
    <cfRule type="containsText" dxfId="9" priority="8" operator="containsText" text="ACCUMULATE">
      <formula>NOT(ISERROR(SEARCH("ACCUMULATE",G4)))</formula>
    </cfRule>
    <cfRule type="containsText" dxfId="8" priority="9" operator="containsText" text="HOLD">
      <formula>NOT(ISERROR(SEARCH("HOLD",G4)))</formula>
    </cfRule>
    <cfRule type="containsText" dxfId="7" priority="10" operator="containsText" text="SPECULATIVE">
      <formula>NOT(ISERROR(SEARCH("SPECULATIVE",G4)))</formula>
    </cfRule>
    <cfRule type="containsText" dxfId="6" priority="11" operator="containsText" text="REDUCE">
      <formula>NOT(ISERROR(SEARCH("REDUCE",G4)))</formula>
    </cfRule>
    <cfRule type="containsText" dxfId="5" priority="12" operator="containsText" text="SELL">
      <formula>NOT(ISERROR(SEARCH("SELL",G4)))</formula>
    </cfRule>
  </conditionalFormatting>
  <conditionalFormatting sqref="G4:H64">
    <cfRule type="containsText" dxfId="4" priority="2" operator="containsText" text="STRONG BUY">
      <formula>NOT(ISERROR(SEARCH("STRONG BUY",G4)))</formula>
    </cfRule>
  </conditionalFormatting>
  <conditionalFormatting sqref="H4:H64">
    <cfRule type="containsText" dxfId="3" priority="3" operator="containsText" text="BUY">
      <formula>NOT(ISERROR(SEARCH("BUY",H4)))</formula>
    </cfRule>
    <cfRule type="containsText" dxfId="2" priority="4" operator="containsText" text="HOLD">
      <formula>NOT(ISERROR(SEARCH("HOLD",H4)))</formula>
    </cfRule>
    <cfRule type="containsText" dxfId="1" priority="5" operator="containsText" text="UNDERWEIGHT">
      <formula>NOT(ISERROR(SEARCH("UNDERWEIGHT",H4)))</formula>
    </cfRule>
    <cfRule type="containsText" dxfId="0" priority="6" operator="containsText" text="SELL">
      <formula>NOT(ISERROR(SEARCH("SELL",H4)))</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522F-A7B8-4E2C-B4DB-BF41C42F0FEF}">
  <dimension ref="A1:AA45"/>
  <sheetViews>
    <sheetView workbookViewId="0">
      <pane ySplit="3" topLeftCell="A30" activePane="bottomLeft" state="frozen"/>
      <selection activeCell="R1" sqref="R1"/>
      <selection pane="bottomLeft"/>
    </sheetView>
  </sheetViews>
  <sheetFormatPr baseColWidth="10" defaultRowHeight="14.6" x14ac:dyDescent="0.4"/>
  <sheetData>
    <row r="1" spans="1:27" ht="18.45" x14ac:dyDescent="0.5">
      <c r="A1" s="39" t="s">
        <v>228</v>
      </c>
    </row>
    <row r="2" spans="1:27" x14ac:dyDescent="0.4">
      <c r="A2" s="40" t="s">
        <v>243</v>
      </c>
    </row>
    <row r="3" spans="1:27" x14ac:dyDescent="0.4">
      <c r="A3" s="41" t="s">
        <v>1</v>
      </c>
      <c r="B3" s="41" t="s">
        <v>135</v>
      </c>
      <c r="C3" s="41" t="s">
        <v>154</v>
      </c>
      <c r="D3" s="42" t="s">
        <v>229</v>
      </c>
      <c r="E3" s="42" t="s">
        <v>230</v>
      </c>
      <c r="F3" s="42" t="s">
        <v>231</v>
      </c>
      <c r="G3" s="43" t="s">
        <v>244</v>
      </c>
      <c r="H3" s="43" t="s">
        <v>245</v>
      </c>
      <c r="I3" s="43" t="s">
        <v>246</v>
      </c>
      <c r="J3" s="43" t="s">
        <v>247</v>
      </c>
      <c r="K3" s="43" t="s">
        <v>248</v>
      </c>
      <c r="L3" s="43" t="s">
        <v>249</v>
      </c>
      <c r="M3" s="43" t="s">
        <v>250</v>
      </c>
      <c r="N3" s="6" t="s">
        <v>232</v>
      </c>
      <c r="O3" s="6" t="s">
        <v>233</v>
      </c>
      <c r="P3" s="6" t="s">
        <v>234</v>
      </c>
      <c r="Q3" s="6" t="s">
        <v>235</v>
      </c>
      <c r="R3" s="6" t="s">
        <v>236</v>
      </c>
      <c r="S3" s="6" t="s">
        <v>237</v>
      </c>
      <c r="T3" s="44" t="s">
        <v>238</v>
      </c>
      <c r="U3" s="44" t="s">
        <v>239</v>
      </c>
      <c r="V3" s="44" t="s">
        <v>240</v>
      </c>
      <c r="W3" s="42" t="s">
        <v>251</v>
      </c>
      <c r="X3" s="7" t="s">
        <v>241</v>
      </c>
      <c r="Y3" s="7" t="s">
        <v>252</v>
      </c>
      <c r="Z3" s="41" t="s">
        <v>242</v>
      </c>
      <c r="AA3" s="41" t="s">
        <v>253</v>
      </c>
    </row>
    <row r="4" spans="1:27" x14ac:dyDescent="0.4">
      <c r="A4" t="s">
        <v>3</v>
      </c>
      <c r="B4" t="s">
        <v>138</v>
      </c>
      <c r="C4" t="s">
        <v>44</v>
      </c>
      <c r="D4" s="45">
        <v>130500</v>
      </c>
      <c r="E4" s="31">
        <v>0.35</v>
      </c>
      <c r="F4" s="45">
        <v>24500</v>
      </c>
      <c r="G4" s="31">
        <v>0.25</v>
      </c>
      <c r="H4" s="31">
        <v>0.2</v>
      </c>
      <c r="I4" s="31">
        <v>0.2</v>
      </c>
      <c r="J4" s="31">
        <v>0.17</v>
      </c>
      <c r="K4" s="31">
        <v>0.14000000000000001</v>
      </c>
      <c r="L4" s="31">
        <v>0.03</v>
      </c>
      <c r="M4" s="31">
        <v>8.5000000000000006E-2</v>
      </c>
      <c r="N4" s="46">
        <f>D4*(1+G4)*E4</f>
        <v>57093.75</v>
      </c>
      <c r="O4" s="46">
        <f>D4*(1+G4)*(1+H4)*E4</f>
        <v>68512.5</v>
      </c>
      <c r="P4" s="46">
        <f>D4*(1+G4)*(1+H4)*(1+I4)*E4</f>
        <v>82215</v>
      </c>
      <c r="Q4" s="46">
        <f>D4*(1+G4)*(1+H4)*(1+I4)*(1+J4)*E4</f>
        <v>96191.549999999988</v>
      </c>
      <c r="R4" s="46">
        <f>D4*(1+G4)*(1+H4)*(1+I4)*(1+J4)*(1+K4)*E4</f>
        <v>109658.36700000001</v>
      </c>
      <c r="S4" s="46">
        <f>R4*(1+L4)/(M4-L4)</f>
        <v>2053602.1456363637</v>
      </c>
      <c r="T4" s="46">
        <f>N4/(1+M4)+O4/(1+M4)^2+P4/(1+M4)^3+Q4/(1+M4)^4+R4/(1+M4)^5</f>
        <v>317523.20633362944</v>
      </c>
      <c r="U4" s="46">
        <f>S4/(1+M4)^5</f>
        <v>1365738.7082107763</v>
      </c>
      <c r="V4" s="46">
        <f>T4+U4</f>
        <v>1683261.9145444059</v>
      </c>
      <c r="W4" s="45">
        <v>-17000</v>
      </c>
      <c r="X4" s="46">
        <f>V4-W4</f>
        <v>1700261.9145444059</v>
      </c>
      <c r="Y4" s="35">
        <f>X4/F4</f>
        <v>69.398445491608399</v>
      </c>
      <c r="Z4" s="35">
        <f ca="1">'Generic Scoring'!AY4</f>
        <v>171.24</v>
      </c>
      <c r="AA4" s="18">
        <f ca="1">IF(Z4=0,"",(Y4-Z4)/Z4)</f>
        <v>-0.59472993756360437</v>
      </c>
    </row>
    <row r="5" spans="1:27" x14ac:dyDescent="0.4">
      <c r="A5" t="s">
        <v>117</v>
      </c>
      <c r="B5" t="s">
        <v>139</v>
      </c>
      <c r="C5" t="s">
        <v>45</v>
      </c>
      <c r="D5" s="45">
        <v>87700</v>
      </c>
      <c r="E5" s="31">
        <v>0.18</v>
      </c>
      <c r="F5" s="45">
        <v>2410</v>
      </c>
      <c r="G5" s="31">
        <v>0.03</v>
      </c>
      <c r="H5" s="31">
        <v>0.03</v>
      </c>
      <c r="I5" s="31">
        <v>0.05</v>
      </c>
      <c r="J5" s="31">
        <v>0.05</v>
      </c>
      <c r="K5" s="31">
        <v>0.05</v>
      </c>
      <c r="L5" s="31">
        <v>2.5000000000000001E-2</v>
      </c>
      <c r="M5" s="31">
        <v>7.0000000000000007E-2</v>
      </c>
      <c r="N5" s="46">
        <f t="shared" ref="N5:N38" si="0">D5*(1+G5)*E5</f>
        <v>16259.58</v>
      </c>
      <c r="O5" s="46">
        <f t="shared" ref="O5:O38" si="1">D5*(1+G5)*(1+H5)*E5</f>
        <v>16747.367399999999</v>
      </c>
      <c r="P5" s="46">
        <f t="shared" ref="P5:P38" si="2">D5*(1+G5)*(1+H5)*(1+I5)*E5</f>
        <v>17584.735770000003</v>
      </c>
      <c r="Q5" s="46">
        <f t="shared" ref="Q5:Q38" si="3">D5*(1+G5)*(1+H5)*(1+I5)*(1+J5)*E5</f>
        <v>18463.972558500005</v>
      </c>
      <c r="R5" s="46">
        <f t="shared" ref="R5:R38" si="4">D5*(1+G5)*(1+H5)*(1+I5)*(1+J5)*(1+K5)*E5</f>
        <v>19387.171186425006</v>
      </c>
      <c r="S5" s="46">
        <f t="shared" ref="S5:S38" si="5">R5*(1+L5)/(M5-L5)</f>
        <v>441596.67702412506</v>
      </c>
      <c r="T5" s="46">
        <f t="shared" ref="T5:T38" si="6">N5/(1+M5)+O5/(1+M5)^2+P5/(1+M5)^3+Q5/(1+M5)^4+R5/(1+M5)^5</f>
        <v>72086.912292857945</v>
      </c>
      <c r="U5" s="46">
        <f t="shared" ref="U5:U38" si="7">S5/(1+M5)^5</f>
        <v>314852.32762411435</v>
      </c>
      <c r="V5" s="46">
        <f t="shared" ref="V5:V38" si="8">T5+U5</f>
        <v>386939.23991697229</v>
      </c>
      <c r="W5" s="45">
        <v>15000</v>
      </c>
      <c r="X5" s="46">
        <f t="shared" ref="X5:X38" si="9">V5-W5</f>
        <v>371939.23991697229</v>
      </c>
      <c r="Y5" s="35">
        <f t="shared" ref="Y5:Y38" si="10">X5/F5</f>
        <v>154.33163482032046</v>
      </c>
      <c r="Z5" s="35">
        <f ca="1">'Generic Scoring'!AY5</f>
        <v>239.24</v>
      </c>
      <c r="AA5" s="18">
        <f t="shared" ref="AA5:AA38" ca="1" si="11">IF(Z5=0,"",(Y5-Z5)/Z5)</f>
        <v>-0.35490873256846489</v>
      </c>
    </row>
    <row r="6" spans="1:27" x14ac:dyDescent="0.4">
      <c r="A6" t="s">
        <v>118</v>
      </c>
      <c r="B6" t="s">
        <v>140</v>
      </c>
      <c r="C6" t="s">
        <v>50</v>
      </c>
      <c r="D6" s="45">
        <v>340000</v>
      </c>
      <c r="E6" s="31">
        <v>0.1</v>
      </c>
      <c r="F6" s="45">
        <v>4170</v>
      </c>
      <c r="G6" s="31">
        <v>0.02</v>
      </c>
      <c r="H6" s="31">
        <v>0.01</v>
      </c>
      <c r="I6" s="31">
        <v>0.02</v>
      </c>
      <c r="J6" s="31">
        <v>0.02</v>
      </c>
      <c r="K6" s="31">
        <v>0.02</v>
      </c>
      <c r="L6" s="31">
        <v>0.02</v>
      </c>
      <c r="M6" s="31">
        <v>8.2500000000000004E-2</v>
      </c>
      <c r="N6" s="46">
        <f t="shared" si="0"/>
        <v>34680</v>
      </c>
      <c r="O6" s="46">
        <f t="shared" si="1"/>
        <v>35026.800000000003</v>
      </c>
      <c r="P6" s="46">
        <f t="shared" si="2"/>
        <v>35727.336000000003</v>
      </c>
      <c r="Q6" s="46">
        <f t="shared" si="3"/>
        <v>36441.882720000001</v>
      </c>
      <c r="R6" s="46">
        <f t="shared" si="4"/>
        <v>37170.7203744</v>
      </c>
      <c r="S6" s="46">
        <f t="shared" si="5"/>
        <v>606626.15651020803</v>
      </c>
      <c r="T6" s="46">
        <f t="shared" si="6"/>
        <v>141639.98059853315</v>
      </c>
      <c r="U6" s="46">
        <f t="shared" si="7"/>
        <v>408114.10716128215</v>
      </c>
      <c r="V6" s="46">
        <f t="shared" si="8"/>
        <v>549754.08775981527</v>
      </c>
      <c r="W6" s="45">
        <v>12000</v>
      </c>
      <c r="X6" s="46">
        <f t="shared" si="9"/>
        <v>537754.08775981527</v>
      </c>
      <c r="Y6" s="35">
        <f t="shared" si="10"/>
        <v>128.95781481050727</v>
      </c>
      <c r="Z6" s="35">
        <f ca="1">'Generic Scoring'!AY6</f>
        <v>165.43</v>
      </c>
      <c r="AA6" s="18">
        <f t="shared" ca="1" si="11"/>
        <v>-0.22046899105055148</v>
      </c>
    </row>
    <row r="7" spans="1:27" x14ac:dyDescent="0.4">
      <c r="A7" t="s">
        <v>119</v>
      </c>
      <c r="B7" t="s">
        <v>141</v>
      </c>
      <c r="C7" t="s">
        <v>46</v>
      </c>
      <c r="D7" s="45">
        <v>370000</v>
      </c>
      <c r="E7" s="31">
        <v>0.11</v>
      </c>
      <c r="F7" s="45">
        <v>1440</v>
      </c>
      <c r="G7" s="31">
        <v>0.05</v>
      </c>
      <c r="H7" s="31">
        <v>0.05</v>
      </c>
      <c r="I7" s="31">
        <v>5.5E-2</v>
      </c>
      <c r="J7" s="31">
        <v>5.5E-2</v>
      </c>
      <c r="K7" s="31">
        <v>4.4999999999999998E-2</v>
      </c>
      <c r="L7" s="31">
        <v>2.5000000000000001E-2</v>
      </c>
      <c r="M7" s="31">
        <v>0.08</v>
      </c>
      <c r="N7" s="46">
        <f t="shared" si="0"/>
        <v>42735</v>
      </c>
      <c r="O7" s="46">
        <f t="shared" si="1"/>
        <v>44871.75</v>
      </c>
      <c r="P7" s="46">
        <f t="shared" si="2"/>
        <v>47339.696250000001</v>
      </c>
      <c r="Q7" s="46">
        <f t="shared" si="3"/>
        <v>49943.379543749994</v>
      </c>
      <c r="R7" s="46">
        <f t="shared" si="4"/>
        <v>52190.831623218743</v>
      </c>
      <c r="S7" s="46">
        <f t="shared" si="5"/>
        <v>972647.31661453098</v>
      </c>
      <c r="T7" s="46">
        <f t="shared" si="6"/>
        <v>187849.59277385307</v>
      </c>
      <c r="U7" s="46">
        <f t="shared" si="7"/>
        <v>661967.42032781849</v>
      </c>
      <c r="V7" s="46">
        <f t="shared" si="8"/>
        <v>849817.01310167159</v>
      </c>
      <c r="W7" s="45">
        <v>-130000</v>
      </c>
      <c r="X7" s="46">
        <f t="shared" si="9"/>
        <v>979817.01310167159</v>
      </c>
      <c r="Y7" s="35">
        <f t="shared" si="10"/>
        <v>680.42848132060521</v>
      </c>
      <c r="Z7" s="35">
        <f ca="1">'Generic Scoring'!AY7</f>
        <v>475.27</v>
      </c>
      <c r="AA7" s="18">
        <f t="shared" ca="1" si="11"/>
        <v>0.43166722351632808</v>
      </c>
    </row>
    <row r="8" spans="1:27" x14ac:dyDescent="0.4">
      <c r="A8" t="s">
        <v>92</v>
      </c>
      <c r="B8" t="s">
        <v>142</v>
      </c>
      <c r="C8" t="s">
        <v>52</v>
      </c>
      <c r="D8" s="45">
        <v>28000</v>
      </c>
      <c r="E8" s="31">
        <v>0.06</v>
      </c>
      <c r="F8" s="45">
        <v>2060</v>
      </c>
      <c r="G8" s="31">
        <v>0.08</v>
      </c>
      <c r="H8" s="31">
        <v>0.08</v>
      </c>
      <c r="I8" s="31">
        <v>8.5000000000000006E-2</v>
      </c>
      <c r="J8" s="31">
        <v>7.4999999999999997E-2</v>
      </c>
      <c r="K8" s="31">
        <v>7.4999999999999997E-2</v>
      </c>
      <c r="L8" s="31">
        <v>2.5000000000000001E-2</v>
      </c>
      <c r="M8" s="31">
        <v>0.06</v>
      </c>
      <c r="N8" s="46">
        <f t="shared" si="0"/>
        <v>1814.4</v>
      </c>
      <c r="O8" s="46">
        <f t="shared" si="1"/>
        <v>1959.5520000000001</v>
      </c>
      <c r="P8" s="46">
        <f t="shared" si="2"/>
        <v>2126.1139200000002</v>
      </c>
      <c r="Q8" s="46">
        <f t="shared" si="3"/>
        <v>2285.5724639999999</v>
      </c>
      <c r="R8" s="46">
        <f t="shared" si="4"/>
        <v>2456.9903987999996</v>
      </c>
      <c r="S8" s="46">
        <f t="shared" si="5"/>
        <v>71954.718821999995</v>
      </c>
      <c r="T8" s="46">
        <f t="shared" si="6"/>
        <v>8887.2122841481687</v>
      </c>
      <c r="U8" s="46">
        <f t="shared" si="7"/>
        <v>53768.751716018589</v>
      </c>
      <c r="V8" s="46">
        <f t="shared" si="8"/>
        <v>62655.964000166758</v>
      </c>
      <c r="W8" s="45">
        <v>55000</v>
      </c>
      <c r="X8" s="46">
        <f t="shared" si="9"/>
        <v>7655.9640001667576</v>
      </c>
      <c r="Y8" s="35">
        <f t="shared" si="10"/>
        <v>3.7164873787217272</v>
      </c>
      <c r="Z8" s="35">
        <f ca="1">'Generic Scoring'!AY8</f>
        <v>91.16</v>
      </c>
      <c r="AA8" s="18">
        <f t="shared" ca="1" si="11"/>
        <v>-0.95923116083016979</v>
      </c>
    </row>
    <row r="9" spans="1:27" x14ac:dyDescent="0.4">
      <c r="A9" t="s">
        <v>120</v>
      </c>
      <c r="B9" t="s">
        <v>143</v>
      </c>
      <c r="C9" t="s">
        <v>44</v>
      </c>
      <c r="D9" s="45">
        <v>395000</v>
      </c>
      <c r="E9" s="31">
        <v>0.32</v>
      </c>
      <c r="F9" s="45">
        <v>15200</v>
      </c>
      <c r="G9" s="31">
        <v>0.05</v>
      </c>
      <c r="H9" s="31">
        <v>0.06</v>
      </c>
      <c r="I9" s="31">
        <v>7.4999999999999997E-2</v>
      </c>
      <c r="J9" s="31">
        <v>6.5000000000000002E-2</v>
      </c>
      <c r="K9" s="31">
        <v>6.5000000000000002E-2</v>
      </c>
      <c r="L9" s="31">
        <v>2.5000000000000001E-2</v>
      </c>
      <c r="M9" s="31">
        <v>7.4999999999999997E-2</v>
      </c>
      <c r="N9" s="46">
        <f t="shared" si="0"/>
        <v>132720</v>
      </c>
      <c r="O9" s="46">
        <f t="shared" si="1"/>
        <v>140683.20000000001</v>
      </c>
      <c r="P9" s="46">
        <f t="shared" si="2"/>
        <v>151234.44</v>
      </c>
      <c r="Q9" s="46">
        <f t="shared" si="3"/>
        <v>161064.67859999998</v>
      </c>
      <c r="R9" s="46">
        <f t="shared" si="4"/>
        <v>171533.882709</v>
      </c>
      <c r="S9" s="46">
        <f t="shared" si="5"/>
        <v>3516444.5955344997</v>
      </c>
      <c r="T9" s="46">
        <f t="shared" si="6"/>
        <v>607024.71042543859</v>
      </c>
      <c r="U9" s="46">
        <f t="shared" si="7"/>
        <v>2449409.8382004686</v>
      </c>
      <c r="V9" s="46">
        <f t="shared" si="8"/>
        <v>3056434.5486259069</v>
      </c>
      <c r="W9" s="45">
        <v>-60000</v>
      </c>
      <c r="X9" s="46">
        <f t="shared" si="9"/>
        <v>3116434.5486259069</v>
      </c>
      <c r="Y9" s="35">
        <f t="shared" si="10"/>
        <v>205.0285887253886</v>
      </c>
      <c r="Z9" s="35">
        <f ca="1">'Generic Scoring'!AY9</f>
        <v>252.89</v>
      </c>
      <c r="AA9" s="18">
        <f t="shared" ca="1" si="11"/>
        <v>-0.18925782464554308</v>
      </c>
    </row>
    <row r="10" spans="1:27" x14ac:dyDescent="0.4">
      <c r="A10" t="s">
        <v>121</v>
      </c>
      <c r="B10" t="s">
        <v>144</v>
      </c>
      <c r="C10" t="s">
        <v>47</v>
      </c>
      <c r="D10" s="45">
        <v>638000</v>
      </c>
      <c r="E10" s="31">
        <v>0.11</v>
      </c>
      <c r="F10" s="45">
        <v>10500</v>
      </c>
      <c r="G10" s="31">
        <v>0.11</v>
      </c>
      <c r="H10" s="31">
        <v>0.1</v>
      </c>
      <c r="I10" s="31">
        <v>0.11</v>
      </c>
      <c r="J10" s="31">
        <v>0.1</v>
      </c>
      <c r="K10" s="31">
        <v>0.09</v>
      </c>
      <c r="L10" s="31">
        <v>0.03</v>
      </c>
      <c r="M10" s="31">
        <v>0.09</v>
      </c>
      <c r="N10" s="46">
        <f t="shared" si="0"/>
        <v>77899.800000000017</v>
      </c>
      <c r="O10" s="46">
        <f t="shared" si="1"/>
        <v>85689.780000000028</v>
      </c>
      <c r="P10" s="46">
        <f t="shared" si="2"/>
        <v>95115.655800000037</v>
      </c>
      <c r="Q10" s="46">
        <f t="shared" si="3"/>
        <v>104627.22138000006</v>
      </c>
      <c r="R10" s="46">
        <f t="shared" si="4"/>
        <v>114043.67130420008</v>
      </c>
      <c r="S10" s="46">
        <f t="shared" si="5"/>
        <v>1957749.6907221014</v>
      </c>
      <c r="T10" s="46">
        <f t="shared" si="6"/>
        <v>365278.94075794891</v>
      </c>
      <c r="U10" s="46">
        <f t="shared" si="7"/>
        <v>1272402.970516172</v>
      </c>
      <c r="V10" s="46">
        <f t="shared" si="8"/>
        <v>1637681.9112741209</v>
      </c>
      <c r="W10" s="45">
        <v>30000</v>
      </c>
      <c r="X10" s="46">
        <f t="shared" si="9"/>
        <v>1607681.9112741209</v>
      </c>
      <c r="Y10" s="35">
        <f t="shared" si="10"/>
        <v>153.11256297848772</v>
      </c>
      <c r="Z10" s="35">
        <f ca="1">'Generic Scoring'!AY10</f>
        <v>207.54</v>
      </c>
      <c r="AA10" s="18">
        <f t="shared" ca="1" si="11"/>
        <v>-0.2622503470247291</v>
      </c>
    </row>
    <row r="11" spans="1:27" x14ac:dyDescent="0.4">
      <c r="A11" t="s">
        <v>122</v>
      </c>
      <c r="B11" t="s">
        <v>145</v>
      </c>
      <c r="C11" t="s">
        <v>48</v>
      </c>
      <c r="D11" s="45">
        <v>350000</v>
      </c>
      <c r="E11" s="31">
        <v>0.28999999999999998</v>
      </c>
      <c r="F11" s="45">
        <v>12200</v>
      </c>
      <c r="G11" s="31">
        <v>0.12</v>
      </c>
      <c r="H11" s="31">
        <v>0.1</v>
      </c>
      <c r="I11" s="31">
        <v>0.11</v>
      </c>
      <c r="J11" s="31">
        <v>0.1</v>
      </c>
      <c r="K11" s="31">
        <v>0.09</v>
      </c>
      <c r="L11" s="31">
        <v>0.03</v>
      </c>
      <c r="M11" s="31">
        <v>7.4999999999999997E-2</v>
      </c>
      <c r="N11" s="46">
        <f t="shared" si="0"/>
        <v>113680.00000000001</v>
      </c>
      <c r="O11" s="46">
        <f t="shared" si="1"/>
        <v>125048.00000000003</v>
      </c>
      <c r="P11" s="46">
        <f t="shared" si="2"/>
        <v>138803.28000000003</v>
      </c>
      <c r="Q11" s="46">
        <f t="shared" si="3"/>
        <v>152683.60800000004</v>
      </c>
      <c r="R11" s="46">
        <f t="shared" si="4"/>
        <v>166425.13272000008</v>
      </c>
      <c r="S11" s="46">
        <f t="shared" si="5"/>
        <v>3809286.3711466691</v>
      </c>
      <c r="T11" s="46">
        <f t="shared" si="6"/>
        <v>555942.54641584109</v>
      </c>
      <c r="U11" s="46">
        <f t="shared" si="7"/>
        <v>2653391.3049158608</v>
      </c>
      <c r="V11" s="46">
        <f t="shared" si="8"/>
        <v>3209333.851331702</v>
      </c>
      <c r="W11" s="45">
        <v>-90000</v>
      </c>
      <c r="X11" s="46">
        <f t="shared" si="9"/>
        <v>3299333.851331702</v>
      </c>
      <c r="Y11" s="35">
        <f t="shared" si="10"/>
        <v>270.43720092882802</v>
      </c>
      <c r="Z11" s="35">
        <f ca="1">'Generic Scoring'!AY11</f>
        <v>280.92</v>
      </c>
      <c r="AA11" s="18">
        <f t="shared" ca="1" si="11"/>
        <v>-3.7315958533290602E-2</v>
      </c>
    </row>
    <row r="12" spans="1:27" x14ac:dyDescent="0.4">
      <c r="A12" t="s">
        <v>123</v>
      </c>
      <c r="B12" t="s">
        <v>146</v>
      </c>
      <c r="C12" t="s">
        <v>49</v>
      </c>
      <c r="D12" s="45">
        <v>84000</v>
      </c>
      <c r="E12" s="31">
        <v>0.2</v>
      </c>
      <c r="F12" s="45">
        <v>2350</v>
      </c>
      <c r="G12" s="31">
        <v>0.03</v>
      </c>
      <c r="H12" s="31">
        <v>0.03</v>
      </c>
      <c r="I12" s="31">
        <v>0.05</v>
      </c>
      <c r="J12" s="31">
        <v>0.05</v>
      </c>
      <c r="K12" s="31">
        <v>0.05</v>
      </c>
      <c r="L12" s="31">
        <v>2.5000000000000001E-2</v>
      </c>
      <c r="M12" s="31">
        <v>7.0000000000000007E-2</v>
      </c>
      <c r="N12" s="46">
        <f t="shared" si="0"/>
        <v>17304</v>
      </c>
      <c r="O12" s="46">
        <f t="shared" si="1"/>
        <v>17823.120000000003</v>
      </c>
      <c r="P12" s="46">
        <f t="shared" si="2"/>
        <v>18714.276000000002</v>
      </c>
      <c r="Q12" s="46">
        <f t="shared" si="3"/>
        <v>19649.989800000003</v>
      </c>
      <c r="R12" s="46">
        <f t="shared" si="4"/>
        <v>20632.489290000005</v>
      </c>
      <c r="S12" s="46">
        <f t="shared" si="5"/>
        <v>469962.25605000003</v>
      </c>
      <c r="T12" s="46">
        <f t="shared" si="6"/>
        <v>76717.352497150219</v>
      </c>
      <c r="U12" s="46">
        <f t="shared" si="7"/>
        <v>335076.59344261501</v>
      </c>
      <c r="V12" s="46">
        <f t="shared" si="8"/>
        <v>411793.9459397652</v>
      </c>
      <c r="W12" s="45">
        <v>22000</v>
      </c>
      <c r="X12" s="46">
        <f t="shared" si="9"/>
        <v>389793.9459397652</v>
      </c>
      <c r="Y12" s="35">
        <f t="shared" si="10"/>
        <v>165.86976422968732</v>
      </c>
      <c r="Z12" s="35">
        <f ca="1">'Generic Scoring'!AY12</f>
        <v>142.41999999999999</v>
      </c>
      <c r="AA12" s="18">
        <f t="shared" ca="1" si="11"/>
        <v>0.16465218529481346</v>
      </c>
    </row>
    <row r="13" spans="1:27" x14ac:dyDescent="0.4">
      <c r="A13" t="s">
        <v>124</v>
      </c>
      <c r="B13" t="s">
        <v>147</v>
      </c>
      <c r="C13" t="s">
        <v>0</v>
      </c>
      <c r="D13" s="45">
        <v>65000</v>
      </c>
      <c r="E13" s="31">
        <v>0.16</v>
      </c>
      <c r="F13" s="45">
        <v>480</v>
      </c>
      <c r="G13" s="31">
        <v>0.04</v>
      </c>
      <c r="H13" s="31">
        <v>0.05</v>
      </c>
      <c r="I13" s="31">
        <v>0.06</v>
      </c>
      <c r="J13" s="31">
        <v>0.05</v>
      </c>
      <c r="K13" s="31">
        <v>0.05</v>
      </c>
      <c r="L13" s="31">
        <v>2.5000000000000001E-2</v>
      </c>
      <c r="M13" s="31">
        <v>8.2500000000000004E-2</v>
      </c>
      <c r="N13" s="46">
        <f t="shared" si="0"/>
        <v>10816</v>
      </c>
      <c r="O13" s="46">
        <f t="shared" si="1"/>
        <v>11356.800000000001</v>
      </c>
      <c r="P13" s="46">
        <f t="shared" si="2"/>
        <v>12038.208000000001</v>
      </c>
      <c r="Q13" s="46">
        <f t="shared" si="3"/>
        <v>12640.118400000001</v>
      </c>
      <c r="R13" s="46">
        <f t="shared" si="4"/>
        <v>13272.124320000001</v>
      </c>
      <c r="S13" s="46">
        <f t="shared" si="5"/>
        <v>236590.04222608692</v>
      </c>
      <c r="T13" s="46">
        <f t="shared" si="6"/>
        <v>47307.945046501292</v>
      </c>
      <c r="U13" s="46">
        <f t="shared" si="7"/>
        <v>159168.43151276928</v>
      </c>
      <c r="V13" s="46">
        <f t="shared" si="8"/>
        <v>206476.37655927057</v>
      </c>
      <c r="W13" s="45">
        <v>16000</v>
      </c>
      <c r="X13" s="46">
        <f t="shared" si="9"/>
        <v>190476.37655927057</v>
      </c>
      <c r="Y13" s="35">
        <f t="shared" si="10"/>
        <v>396.82578449848035</v>
      </c>
      <c r="Z13" s="35">
        <f ca="1">'Generic Scoring'!AY13</f>
        <v>0.01</v>
      </c>
      <c r="AA13" s="18">
        <f t="shared" ca="1" si="11"/>
        <v>39681.578449848035</v>
      </c>
    </row>
    <row r="14" spans="1:27" x14ac:dyDescent="0.4">
      <c r="A14" t="s">
        <v>125</v>
      </c>
      <c r="B14" t="s">
        <v>148</v>
      </c>
      <c r="C14" t="s">
        <v>51</v>
      </c>
      <c r="D14" s="45">
        <v>33000</v>
      </c>
      <c r="E14" s="31">
        <v>0.17</v>
      </c>
      <c r="F14" s="45">
        <v>470</v>
      </c>
      <c r="G14" s="31">
        <v>0.03</v>
      </c>
      <c r="H14" s="31">
        <v>0.04</v>
      </c>
      <c r="I14" s="31">
        <v>0.05</v>
      </c>
      <c r="J14" s="31">
        <v>0.05</v>
      </c>
      <c r="K14" s="31">
        <v>0.05</v>
      </c>
      <c r="L14" s="31">
        <v>2.5000000000000001E-2</v>
      </c>
      <c r="M14" s="31">
        <v>7.2499999999999995E-2</v>
      </c>
      <c r="N14" s="46">
        <f t="shared" si="0"/>
        <v>5778.3</v>
      </c>
      <c r="O14" s="46">
        <f t="shared" si="1"/>
        <v>6009.4319999999998</v>
      </c>
      <c r="P14" s="46">
        <f t="shared" si="2"/>
        <v>6309.9036000000006</v>
      </c>
      <c r="Q14" s="46">
        <f t="shared" si="3"/>
        <v>6625.3987800000004</v>
      </c>
      <c r="R14" s="46">
        <f t="shared" si="4"/>
        <v>6956.6687190000011</v>
      </c>
      <c r="S14" s="46">
        <f t="shared" si="5"/>
        <v>150117.58814684214</v>
      </c>
      <c r="T14" s="46">
        <f t="shared" si="6"/>
        <v>25636.936753708927</v>
      </c>
      <c r="U14" s="46">
        <f t="shared" si="7"/>
        <v>105790.11127746853</v>
      </c>
      <c r="V14" s="46">
        <f t="shared" si="8"/>
        <v>131427.04803117746</v>
      </c>
      <c r="W14" s="45">
        <v>18000</v>
      </c>
      <c r="X14" s="46">
        <f t="shared" si="9"/>
        <v>113427.04803117746</v>
      </c>
      <c r="Y14" s="35">
        <f t="shared" si="10"/>
        <v>241.33414474718609</v>
      </c>
      <c r="Z14" s="35">
        <f ca="1">'Generic Scoring'!AY14</f>
        <v>495.49</v>
      </c>
      <c r="AA14" s="18">
        <f t="shared" ca="1" si="11"/>
        <v>-0.51293841500900905</v>
      </c>
    </row>
    <row r="15" spans="1:27" x14ac:dyDescent="0.4">
      <c r="A15" t="s">
        <v>126</v>
      </c>
      <c r="B15" t="s">
        <v>149</v>
      </c>
      <c r="C15" t="s">
        <v>53</v>
      </c>
      <c r="D15" s="45">
        <v>8200</v>
      </c>
      <c r="E15" s="31">
        <v>0.52</v>
      </c>
      <c r="F15" s="45">
        <v>930</v>
      </c>
      <c r="G15" s="31">
        <v>0.06</v>
      </c>
      <c r="H15" s="31">
        <v>0.06</v>
      </c>
      <c r="I15" s="31">
        <v>6.5000000000000002E-2</v>
      </c>
      <c r="J15" s="31">
        <v>6.5000000000000002E-2</v>
      </c>
      <c r="K15" s="31">
        <v>6.5000000000000002E-2</v>
      </c>
      <c r="L15" s="31">
        <v>2.5000000000000001E-2</v>
      </c>
      <c r="M15" s="31">
        <v>0.06</v>
      </c>
      <c r="N15" s="46">
        <f t="shared" si="0"/>
        <v>4519.84</v>
      </c>
      <c r="O15" s="46">
        <f t="shared" si="1"/>
        <v>4791.0304000000006</v>
      </c>
      <c r="P15" s="46">
        <f t="shared" si="2"/>
        <v>5102.447376000001</v>
      </c>
      <c r="Q15" s="46">
        <f t="shared" si="3"/>
        <v>5434.10645544</v>
      </c>
      <c r="R15" s="46">
        <f t="shared" si="4"/>
        <v>5787.3233750436002</v>
      </c>
      <c r="S15" s="46">
        <f t="shared" si="5"/>
        <v>169485.89884056259</v>
      </c>
      <c r="T15" s="46">
        <f t="shared" si="6"/>
        <v>21441.059187282117</v>
      </c>
      <c r="U15" s="46">
        <f t="shared" si="7"/>
        <v>126649.72309416014</v>
      </c>
      <c r="V15" s="46">
        <f t="shared" si="8"/>
        <v>148090.78228144225</v>
      </c>
      <c r="W15" s="45">
        <v>28000</v>
      </c>
      <c r="X15" s="46">
        <f t="shared" si="9"/>
        <v>120090.78228144225</v>
      </c>
      <c r="Y15" s="35">
        <f t="shared" si="10"/>
        <v>129.12987342090565</v>
      </c>
      <c r="Z15" s="35">
        <f ca="1">'Generic Scoring'!AY15</f>
        <v>129.74</v>
      </c>
      <c r="AA15" s="18">
        <f t="shared" ca="1" si="11"/>
        <v>-4.7026867511511927E-3</v>
      </c>
    </row>
    <row r="16" spans="1:27" x14ac:dyDescent="0.4">
      <c r="A16" t="s">
        <v>127</v>
      </c>
      <c r="B16" t="s">
        <v>150</v>
      </c>
      <c r="C16" t="s">
        <v>45</v>
      </c>
      <c r="D16" s="45">
        <v>400000</v>
      </c>
      <c r="E16" s="31">
        <v>0.11</v>
      </c>
      <c r="F16" s="45">
        <v>920</v>
      </c>
      <c r="G16" s="31">
        <v>0.08</v>
      </c>
      <c r="H16" s="31">
        <v>0.08</v>
      </c>
      <c r="I16" s="31">
        <v>8.5000000000000006E-2</v>
      </c>
      <c r="J16" s="31">
        <v>7.4999999999999997E-2</v>
      </c>
      <c r="K16" s="31">
        <v>7.4999999999999997E-2</v>
      </c>
      <c r="L16" s="31">
        <v>2.5000000000000001E-2</v>
      </c>
      <c r="M16" s="31">
        <v>7.0000000000000007E-2</v>
      </c>
      <c r="N16" s="46">
        <f t="shared" si="0"/>
        <v>47520</v>
      </c>
      <c r="O16" s="46">
        <f t="shared" si="1"/>
        <v>51321.600000000006</v>
      </c>
      <c r="P16" s="46">
        <f t="shared" si="2"/>
        <v>55683.936000000002</v>
      </c>
      <c r="Q16" s="46">
        <f t="shared" si="3"/>
        <v>59860.231200000002</v>
      </c>
      <c r="R16" s="46">
        <f t="shared" si="4"/>
        <v>64349.748540000008</v>
      </c>
      <c r="S16" s="46">
        <f t="shared" si="5"/>
        <v>1465744.2723000001</v>
      </c>
      <c r="T16" s="46">
        <f t="shared" si="6"/>
        <v>226239.73186075082</v>
      </c>
      <c r="U16" s="46">
        <f t="shared" si="7"/>
        <v>1045055.4088072467</v>
      </c>
      <c r="V16" s="46">
        <f t="shared" si="8"/>
        <v>1271295.1406679975</v>
      </c>
      <c r="W16" s="45">
        <v>42000</v>
      </c>
      <c r="X16" s="46">
        <f t="shared" si="9"/>
        <v>1229295.1406679975</v>
      </c>
      <c r="Y16" s="35">
        <f t="shared" si="10"/>
        <v>1336.1903702913016</v>
      </c>
      <c r="Z16" s="35">
        <f ca="1">'Generic Scoring'!AY16</f>
        <v>268.05</v>
      </c>
      <c r="AA16" s="18">
        <f t="shared" ca="1" si="11"/>
        <v>3.984854953520991</v>
      </c>
    </row>
    <row r="17" spans="1:27" x14ac:dyDescent="0.4">
      <c r="A17" t="s">
        <v>128</v>
      </c>
      <c r="B17" t="s">
        <v>151</v>
      </c>
      <c r="C17" t="s">
        <v>46</v>
      </c>
      <c r="D17" s="45">
        <v>180000</v>
      </c>
      <c r="E17" s="31">
        <v>0.28000000000000003</v>
      </c>
      <c r="F17" s="45">
        <v>2800</v>
      </c>
      <c r="G17" s="31">
        <v>0.06</v>
      </c>
      <c r="H17" s="31">
        <v>0.05</v>
      </c>
      <c r="I17" s="31">
        <v>5.5E-2</v>
      </c>
      <c r="J17" s="31">
        <v>5.5E-2</v>
      </c>
      <c r="K17" s="31">
        <v>4.4999999999999998E-2</v>
      </c>
      <c r="L17" s="31">
        <v>2.5000000000000001E-2</v>
      </c>
      <c r="M17" s="31">
        <v>0.08</v>
      </c>
      <c r="N17" s="46">
        <f t="shared" si="0"/>
        <v>53424.000000000007</v>
      </c>
      <c r="O17" s="46">
        <f t="shared" si="1"/>
        <v>56095.200000000004</v>
      </c>
      <c r="P17" s="46">
        <f t="shared" si="2"/>
        <v>59180.436000000002</v>
      </c>
      <c r="Q17" s="46">
        <f t="shared" si="3"/>
        <v>62435.359980000001</v>
      </c>
      <c r="R17" s="46">
        <f t="shared" si="4"/>
        <v>65244.951179099997</v>
      </c>
      <c r="S17" s="46">
        <f t="shared" si="5"/>
        <v>1215928.6356104999</v>
      </c>
      <c r="T17" s="46">
        <f t="shared" si="6"/>
        <v>234835.06831286597</v>
      </c>
      <c r="U17" s="46">
        <f t="shared" si="7"/>
        <v>827540.59818868327</v>
      </c>
      <c r="V17" s="46">
        <f t="shared" si="8"/>
        <v>1062375.6665015493</v>
      </c>
      <c r="W17" s="45">
        <v>-50000</v>
      </c>
      <c r="X17" s="46">
        <f t="shared" si="9"/>
        <v>1112375.6665015493</v>
      </c>
      <c r="Y17" s="35">
        <f t="shared" si="10"/>
        <v>397.27702375055333</v>
      </c>
      <c r="Z17" s="35">
        <f ca="1">'Generic Scoring'!AY17</f>
        <v>291.66000000000003</v>
      </c>
      <c r="AA17" s="18">
        <f t="shared" ca="1" si="11"/>
        <v>0.36212378711703108</v>
      </c>
    </row>
    <row r="18" spans="1:27" x14ac:dyDescent="0.4">
      <c r="A18" t="s">
        <v>129</v>
      </c>
      <c r="B18" t="s">
        <v>152</v>
      </c>
      <c r="C18" t="s">
        <v>50</v>
      </c>
      <c r="D18" s="45">
        <v>195000</v>
      </c>
      <c r="E18" s="31">
        <v>0.1</v>
      </c>
      <c r="F18" s="45">
        <v>1830</v>
      </c>
      <c r="G18" s="31">
        <v>0.02</v>
      </c>
      <c r="H18" s="31">
        <v>0.01</v>
      </c>
      <c r="I18" s="31">
        <v>0.02</v>
      </c>
      <c r="J18" s="31">
        <v>0.02</v>
      </c>
      <c r="K18" s="31">
        <v>0.02</v>
      </c>
      <c r="L18" s="31">
        <v>0.02</v>
      </c>
      <c r="M18" s="31">
        <v>8.2500000000000004E-2</v>
      </c>
      <c r="N18" s="46">
        <f t="shared" si="0"/>
        <v>19890</v>
      </c>
      <c r="O18" s="46">
        <f t="shared" si="1"/>
        <v>20088.900000000001</v>
      </c>
      <c r="P18" s="46">
        <f t="shared" si="2"/>
        <v>20490.678</v>
      </c>
      <c r="Q18" s="46">
        <f t="shared" si="3"/>
        <v>20900.491560000002</v>
      </c>
      <c r="R18" s="46">
        <f t="shared" si="4"/>
        <v>21318.501391200003</v>
      </c>
      <c r="S18" s="46">
        <f t="shared" si="5"/>
        <v>347917.94270438404</v>
      </c>
      <c r="T18" s="46">
        <f t="shared" si="6"/>
        <v>81234.694755041055</v>
      </c>
      <c r="U18" s="46">
        <f t="shared" si="7"/>
        <v>234065.44381308832</v>
      </c>
      <c r="V18" s="46">
        <f t="shared" si="8"/>
        <v>315300.13856812939</v>
      </c>
      <c r="W18" s="45">
        <v>8000</v>
      </c>
      <c r="X18" s="46">
        <f t="shared" si="9"/>
        <v>307300.13856812939</v>
      </c>
      <c r="Y18" s="35">
        <f t="shared" si="10"/>
        <v>167.92357298804885</v>
      </c>
      <c r="Z18" s="35">
        <f ca="1">'Generic Scoring'!AY18</f>
        <v>207.79</v>
      </c>
      <c r="AA18" s="18">
        <f t="shared" ca="1" si="11"/>
        <v>-0.19185921849921145</v>
      </c>
    </row>
    <row r="19" spans="1:27" x14ac:dyDescent="0.4">
      <c r="A19" t="s">
        <v>188</v>
      </c>
      <c r="B19" t="s">
        <v>198</v>
      </c>
      <c r="C19" t="s">
        <v>44</v>
      </c>
      <c r="D19" s="45">
        <v>262000</v>
      </c>
      <c r="E19" s="31">
        <v>0.39</v>
      </c>
      <c r="F19" s="45">
        <v>7430</v>
      </c>
      <c r="G19" s="31">
        <v>0.14000000000000001</v>
      </c>
      <c r="H19" s="31">
        <v>0.12</v>
      </c>
      <c r="I19" s="31">
        <v>0.13</v>
      </c>
      <c r="J19" s="31">
        <v>0.12</v>
      </c>
      <c r="K19" s="31">
        <v>0.11</v>
      </c>
      <c r="L19" s="31">
        <v>0.03</v>
      </c>
      <c r="M19" s="31">
        <v>7.4999999999999997E-2</v>
      </c>
      <c r="N19" s="46">
        <f t="shared" si="0"/>
        <v>116485.20000000003</v>
      </c>
      <c r="O19" s="46">
        <f t="shared" si="1"/>
        <v>130463.42400000004</v>
      </c>
      <c r="P19" s="46">
        <f t="shared" si="2"/>
        <v>147423.66912000004</v>
      </c>
      <c r="Q19" s="46">
        <f t="shared" si="3"/>
        <v>165114.50941440006</v>
      </c>
      <c r="R19" s="46">
        <f t="shared" si="4"/>
        <v>183277.10544998408</v>
      </c>
      <c r="S19" s="46">
        <f t="shared" si="5"/>
        <v>4195009.3025218584</v>
      </c>
      <c r="T19" s="46">
        <f t="shared" si="6"/>
        <v>591223.90376147756</v>
      </c>
      <c r="U19" s="46">
        <f t="shared" si="7"/>
        <v>2922069.9424606403</v>
      </c>
      <c r="V19" s="46">
        <f t="shared" si="8"/>
        <v>3513293.846222118</v>
      </c>
      <c r="W19" s="45">
        <v>-35000</v>
      </c>
      <c r="X19" s="46">
        <f t="shared" si="9"/>
        <v>3548293.846222118</v>
      </c>
      <c r="Y19" s="35">
        <f t="shared" si="10"/>
        <v>477.56310177955828</v>
      </c>
      <c r="Z19" s="35">
        <f ca="1">'Generic Scoring'!AY19</f>
        <v>365.97</v>
      </c>
      <c r="AA19" s="18">
        <f t="shared" ca="1" si="11"/>
        <v>0.30492417897521173</v>
      </c>
    </row>
    <row r="20" spans="1:27" x14ac:dyDescent="0.4">
      <c r="A20" t="s">
        <v>189</v>
      </c>
      <c r="B20" t="s">
        <v>199</v>
      </c>
      <c r="C20" t="s">
        <v>46</v>
      </c>
      <c r="D20" s="45">
        <v>36000</v>
      </c>
      <c r="E20" s="31">
        <v>0.56999999999999995</v>
      </c>
      <c r="F20" s="45">
        <v>1990</v>
      </c>
      <c r="G20" s="31">
        <v>0.1</v>
      </c>
      <c r="H20" s="31">
        <v>0.09</v>
      </c>
      <c r="I20" s="31">
        <v>0.1</v>
      </c>
      <c r="J20" s="31">
        <v>0.09</v>
      </c>
      <c r="K20" s="31">
        <v>0.09</v>
      </c>
      <c r="L20" s="31">
        <v>2.5000000000000001E-2</v>
      </c>
      <c r="M20" s="31">
        <v>7.0000000000000007E-2</v>
      </c>
      <c r="N20" s="46">
        <f t="shared" si="0"/>
        <v>22571.999999999996</v>
      </c>
      <c r="O20" s="46">
        <f t="shared" si="1"/>
        <v>24603.48</v>
      </c>
      <c r="P20" s="46">
        <f t="shared" si="2"/>
        <v>27063.827999999998</v>
      </c>
      <c r="Q20" s="46">
        <f t="shared" si="3"/>
        <v>29499.572520000002</v>
      </c>
      <c r="R20" s="46">
        <f t="shared" si="4"/>
        <v>32154.534046800003</v>
      </c>
      <c r="S20" s="46">
        <f t="shared" si="5"/>
        <v>732408.83106599993</v>
      </c>
      <c r="T20" s="46">
        <f t="shared" si="6"/>
        <v>110107.92573810054</v>
      </c>
      <c r="U20" s="46">
        <f t="shared" si="7"/>
        <v>522197.37428184674</v>
      </c>
      <c r="V20" s="46">
        <f t="shared" si="8"/>
        <v>632305.30001994735</v>
      </c>
      <c r="W20" s="45">
        <v>14000</v>
      </c>
      <c r="X20" s="46">
        <f t="shared" si="9"/>
        <v>618305.30001994735</v>
      </c>
      <c r="Y20" s="35">
        <f t="shared" si="10"/>
        <v>310.70618091454639</v>
      </c>
      <c r="Z20" s="35">
        <f ca="1">'Generic Scoring'!AY20</f>
        <v>305.52999999999997</v>
      </c>
      <c r="AA20" s="18">
        <f t="shared" ca="1" si="11"/>
        <v>1.6941645385220507E-2</v>
      </c>
    </row>
    <row r="21" spans="1:27" x14ac:dyDescent="0.4">
      <c r="A21" t="s">
        <v>190</v>
      </c>
      <c r="B21" t="s">
        <v>200</v>
      </c>
      <c r="C21" t="s">
        <v>45</v>
      </c>
      <c r="D21" s="45">
        <v>45000</v>
      </c>
      <c r="E21" s="31">
        <v>0.24</v>
      </c>
      <c r="F21" s="45">
        <v>950</v>
      </c>
      <c r="G21" s="31">
        <v>0.18</v>
      </c>
      <c r="H21" s="31">
        <v>0.15</v>
      </c>
      <c r="I21" s="31">
        <v>0.14000000000000001</v>
      </c>
      <c r="J21" s="31">
        <v>0.12</v>
      </c>
      <c r="K21" s="31">
        <v>0.12</v>
      </c>
      <c r="L21" s="31">
        <v>0.03</v>
      </c>
      <c r="M21" s="31">
        <v>0.08</v>
      </c>
      <c r="N21" s="46">
        <f t="shared" si="0"/>
        <v>12744</v>
      </c>
      <c r="O21" s="46">
        <f t="shared" si="1"/>
        <v>14655.599999999999</v>
      </c>
      <c r="P21" s="46">
        <f t="shared" si="2"/>
        <v>16707.384000000002</v>
      </c>
      <c r="Q21" s="46">
        <f t="shared" si="3"/>
        <v>18712.270080000002</v>
      </c>
      <c r="R21" s="46">
        <f t="shared" si="4"/>
        <v>20957.742489600005</v>
      </c>
      <c r="S21" s="46">
        <f t="shared" si="5"/>
        <v>431729.49528576009</v>
      </c>
      <c r="T21" s="46">
        <f t="shared" si="6"/>
        <v>65645.239405691318</v>
      </c>
      <c r="U21" s="46">
        <f t="shared" si="7"/>
        <v>293827.84015535121</v>
      </c>
      <c r="V21" s="46">
        <f t="shared" si="8"/>
        <v>359473.07956104254</v>
      </c>
      <c r="W21" s="45">
        <v>18000</v>
      </c>
      <c r="X21" s="46">
        <f t="shared" si="9"/>
        <v>341473.07956104254</v>
      </c>
      <c r="Y21" s="35">
        <f t="shared" si="10"/>
        <v>359.44534690636056</v>
      </c>
      <c r="Z21" s="35">
        <f ca="1">'Generic Scoring'!AY21</f>
        <v>897</v>
      </c>
      <c r="AA21" s="18">
        <f t="shared" ca="1" si="11"/>
        <v>-0.5992805497142023</v>
      </c>
    </row>
    <row r="22" spans="1:27" x14ac:dyDescent="0.4">
      <c r="A22" t="s">
        <v>191</v>
      </c>
      <c r="B22" t="s">
        <v>201</v>
      </c>
      <c r="C22" t="s">
        <v>47</v>
      </c>
      <c r="D22" s="45">
        <v>26000</v>
      </c>
      <c r="E22" s="31">
        <v>0.3</v>
      </c>
      <c r="F22" s="45">
        <v>710</v>
      </c>
      <c r="G22" s="31">
        <v>0.04</v>
      </c>
      <c r="H22" s="31">
        <v>0.04</v>
      </c>
      <c r="I22" s="31">
        <v>0.04</v>
      </c>
      <c r="J22" s="31">
        <v>0.04</v>
      </c>
      <c r="K22" s="31">
        <v>0.04</v>
      </c>
      <c r="L22" s="31">
        <v>2.5000000000000001E-2</v>
      </c>
      <c r="M22" s="31">
        <v>7.0000000000000007E-2</v>
      </c>
      <c r="N22" s="46">
        <f t="shared" si="0"/>
        <v>8112</v>
      </c>
      <c r="O22" s="46">
        <f t="shared" si="1"/>
        <v>8436.48</v>
      </c>
      <c r="P22" s="46">
        <f t="shared" si="2"/>
        <v>8773.9392000000007</v>
      </c>
      <c r="Q22" s="46">
        <f t="shared" si="3"/>
        <v>9124.8967680000005</v>
      </c>
      <c r="R22" s="46">
        <f t="shared" si="4"/>
        <v>9489.8926387200008</v>
      </c>
      <c r="S22" s="46">
        <f t="shared" si="5"/>
        <v>216158.66565973332</v>
      </c>
      <c r="T22" s="46">
        <f t="shared" si="6"/>
        <v>35839.707065373055</v>
      </c>
      <c r="U22" s="46">
        <f t="shared" si="7"/>
        <v>154118.14119102087</v>
      </c>
      <c r="V22" s="46">
        <f t="shared" si="8"/>
        <v>189957.84825639392</v>
      </c>
      <c r="W22" s="45">
        <v>35000</v>
      </c>
      <c r="X22" s="46">
        <f t="shared" si="9"/>
        <v>154957.84825639392</v>
      </c>
      <c r="Y22" s="35">
        <f t="shared" si="10"/>
        <v>218.25049050196327</v>
      </c>
      <c r="Z22" s="35">
        <f ca="1">'Generic Scoring'!AY22</f>
        <v>308.93</v>
      </c>
      <c r="AA22" s="18">
        <f t="shared" ca="1" si="11"/>
        <v>-0.29352769073264734</v>
      </c>
    </row>
    <row r="23" spans="1:27" x14ac:dyDescent="0.4">
      <c r="A23" t="s">
        <v>192</v>
      </c>
      <c r="B23" t="s">
        <v>202</v>
      </c>
      <c r="C23" t="s">
        <v>49</v>
      </c>
      <c r="D23" s="45">
        <v>260000</v>
      </c>
      <c r="E23" s="31">
        <v>0.06</v>
      </c>
      <c r="F23" s="45">
        <v>443</v>
      </c>
      <c r="G23" s="31">
        <v>7.0000000000000007E-2</v>
      </c>
      <c r="H23" s="31">
        <v>7.0000000000000007E-2</v>
      </c>
      <c r="I23" s="31">
        <v>7.4999999999999997E-2</v>
      </c>
      <c r="J23" s="31">
        <v>7.4999999999999997E-2</v>
      </c>
      <c r="K23" s="31">
        <v>6.5000000000000002E-2</v>
      </c>
      <c r="L23" s="31">
        <v>2.5000000000000001E-2</v>
      </c>
      <c r="M23" s="31">
        <v>7.0000000000000007E-2</v>
      </c>
      <c r="N23" s="46">
        <f t="shared" si="0"/>
        <v>16692</v>
      </c>
      <c r="O23" s="46">
        <f t="shared" si="1"/>
        <v>17860.439999999999</v>
      </c>
      <c r="P23" s="46">
        <f t="shared" si="2"/>
        <v>19199.972999999998</v>
      </c>
      <c r="Q23" s="46">
        <f t="shared" si="3"/>
        <v>20639.970975</v>
      </c>
      <c r="R23" s="46">
        <f t="shared" si="4"/>
        <v>21981.569088374996</v>
      </c>
      <c r="S23" s="46">
        <f t="shared" si="5"/>
        <v>500691.29590187484</v>
      </c>
      <c r="T23" s="46">
        <f t="shared" si="6"/>
        <v>78291.587193265863</v>
      </c>
      <c r="U23" s="46">
        <f t="shared" si="7"/>
        <v>356985.97416580463</v>
      </c>
      <c r="V23" s="46">
        <f t="shared" si="8"/>
        <v>435277.56135907047</v>
      </c>
      <c r="W23" s="45">
        <v>-7000</v>
      </c>
      <c r="X23" s="46">
        <f t="shared" si="9"/>
        <v>442277.56135907047</v>
      </c>
      <c r="Y23" s="35">
        <f t="shared" si="10"/>
        <v>998.36921300015911</v>
      </c>
      <c r="Z23" s="35">
        <f ca="1">'Generic Scoring'!AY23</f>
        <v>979.65</v>
      </c>
      <c r="AA23" s="18">
        <f t="shared" ca="1" si="11"/>
        <v>1.9108062063144114E-2</v>
      </c>
    </row>
    <row r="24" spans="1:27" x14ac:dyDescent="0.4">
      <c r="A24" t="s">
        <v>193</v>
      </c>
      <c r="B24" t="s">
        <v>203</v>
      </c>
      <c r="C24" t="s">
        <v>53</v>
      </c>
      <c r="D24" s="45">
        <v>11500</v>
      </c>
      <c r="E24" s="31">
        <v>0.37</v>
      </c>
      <c r="F24" s="45">
        <v>467</v>
      </c>
      <c r="G24" s="31">
        <v>0.05</v>
      </c>
      <c r="H24" s="31">
        <v>0.05</v>
      </c>
      <c r="I24" s="31">
        <v>5.5E-2</v>
      </c>
      <c r="J24" s="31">
        <v>5.5E-2</v>
      </c>
      <c r="K24" s="31">
        <v>5.5E-2</v>
      </c>
      <c r="L24" s="31">
        <v>2.5000000000000001E-2</v>
      </c>
      <c r="M24" s="31">
        <v>0.06</v>
      </c>
      <c r="N24" s="46">
        <f t="shared" si="0"/>
        <v>4467.75</v>
      </c>
      <c r="O24" s="46">
        <f t="shared" si="1"/>
        <v>4691.1374999999998</v>
      </c>
      <c r="P24" s="46">
        <f t="shared" si="2"/>
        <v>4949.1500624999999</v>
      </c>
      <c r="Q24" s="46">
        <f t="shared" si="3"/>
        <v>5221.3533159374992</v>
      </c>
      <c r="R24" s="46">
        <f t="shared" si="4"/>
        <v>5508.5277483140617</v>
      </c>
      <c r="S24" s="46">
        <f t="shared" si="5"/>
        <v>161321.16977205468</v>
      </c>
      <c r="T24" s="46">
        <f t="shared" si="6"/>
        <v>20797.449247746918</v>
      </c>
      <c r="U24" s="46">
        <f t="shared" si="7"/>
        <v>120548.56256848054</v>
      </c>
      <c r="V24" s="46">
        <f t="shared" si="8"/>
        <v>141346.01181622746</v>
      </c>
      <c r="W24" s="45">
        <v>30000</v>
      </c>
      <c r="X24" s="46">
        <f t="shared" si="9"/>
        <v>111346.01181622746</v>
      </c>
      <c r="Y24" s="35">
        <f t="shared" si="10"/>
        <v>238.42829082703952</v>
      </c>
      <c r="Z24" s="35">
        <f ca="1">'Generic Scoring'!AY24</f>
        <v>168.92</v>
      </c>
      <c r="AA24" s="18">
        <f t="shared" ca="1" si="11"/>
        <v>0.41148644818280566</v>
      </c>
    </row>
    <row r="25" spans="1:27" x14ac:dyDescent="0.4">
      <c r="A25" t="s">
        <v>194</v>
      </c>
      <c r="B25" t="s">
        <v>204</v>
      </c>
      <c r="C25" t="s">
        <v>52</v>
      </c>
      <c r="D25" s="45">
        <v>30500</v>
      </c>
      <c r="E25" s="31">
        <v>0.12</v>
      </c>
      <c r="F25" s="45">
        <v>772</v>
      </c>
      <c r="G25" s="31">
        <v>0.04</v>
      </c>
      <c r="H25" s="31">
        <v>0.04</v>
      </c>
      <c r="I25" s="31">
        <v>0.04</v>
      </c>
      <c r="J25" s="31">
        <v>0.04</v>
      </c>
      <c r="K25" s="31">
        <v>0.04</v>
      </c>
      <c r="L25" s="31">
        <v>2.5000000000000001E-2</v>
      </c>
      <c r="M25" s="31">
        <v>0.05</v>
      </c>
      <c r="N25" s="46">
        <f t="shared" si="0"/>
        <v>3806.3999999999996</v>
      </c>
      <c r="O25" s="46">
        <f t="shared" si="1"/>
        <v>3958.6560000000004</v>
      </c>
      <c r="P25" s="46">
        <f t="shared" si="2"/>
        <v>4117.0022400000007</v>
      </c>
      <c r="Q25" s="46">
        <f t="shared" si="3"/>
        <v>4281.6823296000002</v>
      </c>
      <c r="R25" s="46">
        <f t="shared" si="4"/>
        <v>4452.9496227840009</v>
      </c>
      <c r="S25" s="46">
        <f t="shared" si="5"/>
        <v>182570.93453414403</v>
      </c>
      <c r="T25" s="46">
        <f t="shared" si="6"/>
        <v>17783.735068619702</v>
      </c>
      <c r="U25" s="46">
        <f t="shared" si="7"/>
        <v>143049.10444410186</v>
      </c>
      <c r="V25" s="46">
        <f t="shared" si="8"/>
        <v>160832.83951272158</v>
      </c>
      <c r="W25" s="45">
        <v>60000</v>
      </c>
      <c r="X25" s="46">
        <f t="shared" si="9"/>
        <v>100832.83951272158</v>
      </c>
      <c r="Y25" s="35">
        <f t="shared" si="10"/>
        <v>130.61248641544245</v>
      </c>
      <c r="Z25" s="35">
        <f ca="1">'Generic Scoring'!AY25</f>
        <v>129.38</v>
      </c>
      <c r="AA25" s="18">
        <f t="shared" ca="1" si="11"/>
        <v>9.5260968885643206E-3</v>
      </c>
    </row>
    <row r="26" spans="1:27" x14ac:dyDescent="0.4">
      <c r="A26" t="s">
        <v>195</v>
      </c>
      <c r="B26" t="s">
        <v>205</v>
      </c>
      <c r="C26" t="s">
        <v>0</v>
      </c>
      <c r="D26" s="45">
        <v>24500</v>
      </c>
      <c r="E26" s="31">
        <v>0.17</v>
      </c>
      <c r="F26" s="45">
        <v>602</v>
      </c>
      <c r="G26" s="31">
        <v>0.03</v>
      </c>
      <c r="H26" s="31">
        <v>0.04</v>
      </c>
      <c r="I26" s="31">
        <v>0.05</v>
      </c>
      <c r="J26" s="31">
        <v>0.05</v>
      </c>
      <c r="K26" s="31">
        <v>0.04</v>
      </c>
      <c r="L26" s="31">
        <v>2.5000000000000001E-2</v>
      </c>
      <c r="M26" s="31">
        <v>7.2499999999999995E-2</v>
      </c>
      <c r="N26" s="46">
        <f t="shared" si="0"/>
        <v>4289.9500000000007</v>
      </c>
      <c r="O26" s="46">
        <f t="shared" si="1"/>
        <v>4461.5480000000007</v>
      </c>
      <c r="P26" s="46">
        <f t="shared" si="2"/>
        <v>4684.6254000000008</v>
      </c>
      <c r="Q26" s="46">
        <f t="shared" si="3"/>
        <v>4918.856670000001</v>
      </c>
      <c r="R26" s="46">
        <f t="shared" si="4"/>
        <v>5115.6109368000007</v>
      </c>
      <c r="S26" s="46">
        <f t="shared" si="5"/>
        <v>110389.49916252632</v>
      </c>
      <c r="T26" s="46">
        <f t="shared" si="6"/>
        <v>18998.819428258888</v>
      </c>
      <c r="U26" s="46">
        <f t="shared" si="7"/>
        <v>77793.132333330374</v>
      </c>
      <c r="V26" s="46">
        <f t="shared" si="8"/>
        <v>96791.951761589269</v>
      </c>
      <c r="W26" s="45">
        <v>28000</v>
      </c>
      <c r="X26" s="46">
        <f t="shared" si="9"/>
        <v>68791.951761589269</v>
      </c>
      <c r="Y26" s="35">
        <f t="shared" si="10"/>
        <v>114.27234511891905</v>
      </c>
      <c r="Z26" s="35">
        <f ca="1">'Generic Scoring'!AY26</f>
        <v>239.19</v>
      </c>
      <c r="AA26" s="18">
        <f t="shared" ca="1" si="11"/>
        <v>-0.52225283197910011</v>
      </c>
    </row>
    <row r="27" spans="1:27" x14ac:dyDescent="0.4">
      <c r="A27" t="s">
        <v>196</v>
      </c>
      <c r="B27" t="s">
        <v>206</v>
      </c>
      <c r="C27" t="s">
        <v>51</v>
      </c>
      <c r="D27" s="45">
        <v>25500</v>
      </c>
      <c r="E27" s="31">
        <v>0.12</v>
      </c>
      <c r="F27" s="45">
        <v>1430</v>
      </c>
      <c r="G27" s="31">
        <v>0.08</v>
      </c>
      <c r="H27" s="31">
        <v>0.06</v>
      </c>
      <c r="I27" s="31">
        <v>6.5000000000000002E-2</v>
      </c>
      <c r="J27" s="31">
        <v>5.5E-2</v>
      </c>
      <c r="K27" s="31">
        <v>5.5E-2</v>
      </c>
      <c r="L27" s="31">
        <v>2.5000000000000001E-2</v>
      </c>
      <c r="M27" s="31">
        <v>9.2499999999999999E-2</v>
      </c>
      <c r="N27" s="46">
        <f t="shared" si="0"/>
        <v>3304.7999999999997</v>
      </c>
      <c r="O27" s="46">
        <f t="shared" si="1"/>
        <v>3503.0880000000002</v>
      </c>
      <c r="P27" s="46">
        <f t="shared" si="2"/>
        <v>3730.7887199999996</v>
      </c>
      <c r="Q27" s="46">
        <f t="shared" si="3"/>
        <v>3935.9820995999994</v>
      </c>
      <c r="R27" s="46">
        <f t="shared" si="4"/>
        <v>4152.4611150779992</v>
      </c>
      <c r="S27" s="46">
        <f t="shared" si="5"/>
        <v>63055.89100673997</v>
      </c>
      <c r="T27" s="46">
        <f t="shared" si="6"/>
        <v>14252.101209775599</v>
      </c>
      <c r="U27" s="46">
        <f t="shared" si="7"/>
        <v>40515.242121812757</v>
      </c>
      <c r="V27" s="46">
        <f t="shared" si="8"/>
        <v>54767.343331588359</v>
      </c>
      <c r="W27" s="45">
        <v>2000</v>
      </c>
      <c r="X27" s="46">
        <f t="shared" si="9"/>
        <v>52767.343331588359</v>
      </c>
      <c r="Y27" s="35">
        <f t="shared" si="10"/>
        <v>36.900240092019828</v>
      </c>
      <c r="Z27" s="35">
        <f ca="1">'Generic Scoring'!AY27</f>
        <v>55.83</v>
      </c>
      <c r="AA27" s="18">
        <f t="shared" ca="1" si="11"/>
        <v>-0.33906071839477286</v>
      </c>
    </row>
    <row r="28" spans="1:27" x14ac:dyDescent="0.4">
      <c r="A28" t="s">
        <v>197</v>
      </c>
      <c r="B28" t="s">
        <v>207</v>
      </c>
      <c r="C28" t="s">
        <v>48</v>
      </c>
      <c r="D28" s="45">
        <v>82000</v>
      </c>
      <c r="E28" s="31">
        <v>0.22</v>
      </c>
      <c r="F28" s="45">
        <v>1170</v>
      </c>
      <c r="G28" s="31">
        <v>0.06</v>
      </c>
      <c r="H28" s="31">
        <v>0.05</v>
      </c>
      <c r="I28" s="31">
        <v>6.5000000000000002E-2</v>
      </c>
      <c r="J28" s="31">
        <v>5.5E-2</v>
      </c>
      <c r="K28" s="31">
        <v>5.5E-2</v>
      </c>
      <c r="L28" s="31">
        <v>2.5000000000000001E-2</v>
      </c>
      <c r="M28" s="31">
        <v>6.5000000000000002E-2</v>
      </c>
      <c r="N28" s="46">
        <f t="shared" si="0"/>
        <v>19122.400000000001</v>
      </c>
      <c r="O28" s="46">
        <f t="shared" si="1"/>
        <v>20078.52</v>
      </c>
      <c r="P28" s="46">
        <f t="shared" si="2"/>
        <v>21383.623799999998</v>
      </c>
      <c r="Q28" s="46">
        <f t="shared" si="3"/>
        <v>22559.723108999999</v>
      </c>
      <c r="R28" s="46">
        <f t="shared" si="4"/>
        <v>23800.507879994995</v>
      </c>
      <c r="S28" s="46">
        <f t="shared" si="5"/>
        <v>609888.01442487165</v>
      </c>
      <c r="T28" s="46">
        <f t="shared" si="6"/>
        <v>88267.860546785858</v>
      </c>
      <c r="U28" s="46">
        <f t="shared" si="7"/>
        <v>445145.57415252953</v>
      </c>
      <c r="V28" s="46">
        <f t="shared" si="8"/>
        <v>533413.43469931534</v>
      </c>
      <c r="W28" s="45">
        <v>62000</v>
      </c>
      <c r="X28" s="46">
        <f t="shared" si="9"/>
        <v>471413.43469931534</v>
      </c>
      <c r="Y28" s="35">
        <f t="shared" si="10"/>
        <v>402.91746555497036</v>
      </c>
      <c r="Z28" s="35">
        <f ca="1">'Generic Scoring'!AY28</f>
        <v>211.59</v>
      </c>
      <c r="AA28" s="18">
        <f t="shared" ca="1" si="11"/>
        <v>0.90423680492920444</v>
      </c>
    </row>
    <row r="29" spans="1:27" x14ac:dyDescent="0.4">
      <c r="A29" t="s">
        <v>208</v>
      </c>
      <c r="B29" t="s">
        <v>218</v>
      </c>
      <c r="C29" t="s">
        <v>48</v>
      </c>
      <c r="D29" s="45">
        <v>201000</v>
      </c>
      <c r="E29" s="31">
        <v>0.36</v>
      </c>
      <c r="F29" s="45">
        <v>2530</v>
      </c>
      <c r="G29" s="31">
        <v>0.18</v>
      </c>
      <c r="H29" s="31">
        <v>0.14000000000000001</v>
      </c>
      <c r="I29" s="31">
        <v>0.14000000000000001</v>
      </c>
      <c r="J29" s="31">
        <v>0.12</v>
      </c>
      <c r="K29" s="31">
        <v>0.1</v>
      </c>
      <c r="L29" s="31">
        <v>0.03</v>
      </c>
      <c r="M29" s="31">
        <v>7.4999999999999997E-2</v>
      </c>
      <c r="N29" s="46">
        <f t="shared" si="0"/>
        <v>85384.8</v>
      </c>
      <c r="O29" s="46">
        <f t="shared" si="1"/>
        <v>97338.672000000006</v>
      </c>
      <c r="P29" s="46">
        <f t="shared" si="2"/>
        <v>110966.08608000001</v>
      </c>
      <c r="Q29" s="46">
        <f t="shared" si="3"/>
        <v>124282.01640960001</v>
      </c>
      <c r="R29" s="46">
        <f t="shared" si="4"/>
        <v>136710.21805056004</v>
      </c>
      <c r="S29" s="46">
        <f t="shared" si="5"/>
        <v>3129144.9909350411</v>
      </c>
      <c r="T29" s="46">
        <f t="shared" si="6"/>
        <v>441270.49433227046</v>
      </c>
      <c r="U29" s="46">
        <f t="shared" si="7"/>
        <v>2179632.9553109291</v>
      </c>
      <c r="V29" s="46">
        <f t="shared" si="8"/>
        <v>2620903.4496431993</v>
      </c>
      <c r="W29" s="45">
        <v>-45000</v>
      </c>
      <c r="X29" s="46">
        <f t="shared" si="9"/>
        <v>2665903.4496431993</v>
      </c>
      <c r="Y29" s="35">
        <f t="shared" si="10"/>
        <v>1053.7167785150984</v>
      </c>
      <c r="Z29" s="35">
        <f ca="1">'Generic Scoring'!AY29</f>
        <v>547.54</v>
      </c>
      <c r="AA29" s="18">
        <f t="shared" ca="1" si="11"/>
        <v>0.9244562561915084</v>
      </c>
    </row>
    <row r="30" spans="1:27" x14ac:dyDescent="0.4">
      <c r="A30" t="s">
        <v>209</v>
      </c>
      <c r="B30" t="s">
        <v>219</v>
      </c>
      <c r="C30" t="s">
        <v>45</v>
      </c>
      <c r="D30" s="45">
        <v>56500</v>
      </c>
      <c r="E30" s="31">
        <v>0.3</v>
      </c>
      <c r="F30" s="45">
        <v>1770</v>
      </c>
      <c r="G30" s="31">
        <v>7.0000000000000007E-2</v>
      </c>
      <c r="H30" s="31">
        <v>0.08</v>
      </c>
      <c r="I30" s="31">
        <v>9.5000000000000001E-2</v>
      </c>
      <c r="J30" s="31">
        <v>8.5000000000000006E-2</v>
      </c>
      <c r="K30" s="31">
        <v>8.5000000000000006E-2</v>
      </c>
      <c r="L30" s="31">
        <v>2.5000000000000001E-2</v>
      </c>
      <c r="M30" s="31">
        <v>7.0000000000000007E-2</v>
      </c>
      <c r="N30" s="46">
        <f t="shared" si="0"/>
        <v>18136.5</v>
      </c>
      <c r="O30" s="46">
        <f t="shared" si="1"/>
        <v>19587.419999999998</v>
      </c>
      <c r="P30" s="46">
        <f t="shared" si="2"/>
        <v>21448.224899999997</v>
      </c>
      <c r="Q30" s="46">
        <f t="shared" si="3"/>
        <v>23271.324016499999</v>
      </c>
      <c r="R30" s="46">
        <f t="shared" si="4"/>
        <v>25249.386557902497</v>
      </c>
      <c r="S30" s="46">
        <f t="shared" si="5"/>
        <v>575124.91604111239</v>
      </c>
      <c r="T30" s="46">
        <f t="shared" si="6"/>
        <v>87322.59699032041</v>
      </c>
      <c r="U30" s="46">
        <f t="shared" si="7"/>
        <v>410056.11661401828</v>
      </c>
      <c r="V30" s="46">
        <f t="shared" si="8"/>
        <v>497378.7136043387</v>
      </c>
      <c r="W30" s="45">
        <v>63000</v>
      </c>
      <c r="X30" s="46">
        <f t="shared" si="9"/>
        <v>434378.7136043387</v>
      </c>
      <c r="Y30" s="35">
        <f t="shared" si="10"/>
        <v>245.41170260132131</v>
      </c>
      <c r="Z30" s="35">
        <f ca="1">'Generic Scoring'!AY30</f>
        <v>211.12</v>
      </c>
      <c r="AA30" s="18">
        <f t="shared" ca="1" si="11"/>
        <v>0.16242754168871401</v>
      </c>
    </row>
    <row r="31" spans="1:27" x14ac:dyDescent="0.4">
      <c r="A31" t="s">
        <v>210</v>
      </c>
      <c r="B31" t="s">
        <v>220</v>
      </c>
      <c r="C31" t="s">
        <v>44</v>
      </c>
      <c r="D31" s="45">
        <v>16500</v>
      </c>
      <c r="E31" s="31">
        <v>0.3</v>
      </c>
      <c r="F31" s="45">
        <v>907</v>
      </c>
      <c r="G31" s="31">
        <v>0.06</v>
      </c>
      <c r="H31" s="31">
        <v>0.08</v>
      </c>
      <c r="I31" s="31">
        <v>9.5000000000000001E-2</v>
      </c>
      <c r="J31" s="31">
        <v>8.5000000000000006E-2</v>
      </c>
      <c r="K31" s="31">
        <v>7.4999999999999997E-2</v>
      </c>
      <c r="L31" s="31">
        <v>2.5000000000000001E-2</v>
      </c>
      <c r="M31" s="31">
        <v>7.4999999999999997E-2</v>
      </c>
      <c r="N31" s="46">
        <f t="shared" si="0"/>
        <v>5247</v>
      </c>
      <c r="O31" s="46">
        <f t="shared" si="1"/>
        <v>5666.76</v>
      </c>
      <c r="P31" s="46">
        <f t="shared" si="2"/>
        <v>6205.1021999999994</v>
      </c>
      <c r="Q31" s="46">
        <f t="shared" si="3"/>
        <v>6732.535887</v>
      </c>
      <c r="R31" s="46">
        <f t="shared" si="4"/>
        <v>7237.4760785249991</v>
      </c>
      <c r="S31" s="46">
        <f t="shared" si="5"/>
        <v>148368.25960976246</v>
      </c>
      <c r="T31" s="46">
        <f t="shared" si="6"/>
        <v>24862.077944823352</v>
      </c>
      <c r="U31" s="46">
        <f t="shared" si="7"/>
        <v>103347.19199794313</v>
      </c>
      <c r="V31" s="46">
        <f t="shared" si="8"/>
        <v>128209.26994276648</v>
      </c>
      <c r="W31" s="45">
        <v>5000</v>
      </c>
      <c r="X31" s="46">
        <f t="shared" si="9"/>
        <v>123209.26994276648</v>
      </c>
      <c r="Y31" s="35">
        <f t="shared" si="10"/>
        <v>135.84263499753746</v>
      </c>
      <c r="Z31" s="35">
        <f ca="1">'Generic Scoring'!AY31</f>
        <v>193.41</v>
      </c>
      <c r="AA31" s="18">
        <f t="shared" ca="1" si="11"/>
        <v>-0.29764420145009324</v>
      </c>
    </row>
    <row r="32" spans="1:27" x14ac:dyDescent="0.4">
      <c r="A32" t="s">
        <v>211</v>
      </c>
      <c r="B32" t="s">
        <v>221</v>
      </c>
      <c r="C32" t="s">
        <v>47</v>
      </c>
      <c r="D32" s="45">
        <v>157000</v>
      </c>
      <c r="E32" s="31">
        <v>0.1</v>
      </c>
      <c r="F32" s="45">
        <v>990</v>
      </c>
      <c r="G32" s="31">
        <v>0.03</v>
      </c>
      <c r="H32" s="31">
        <v>0.04</v>
      </c>
      <c r="I32" s="31">
        <v>0.05</v>
      </c>
      <c r="J32" s="31">
        <v>0.04</v>
      </c>
      <c r="K32" s="31">
        <v>0.04</v>
      </c>
      <c r="L32" s="31">
        <v>2.5000000000000001E-2</v>
      </c>
      <c r="M32" s="31">
        <v>7.0000000000000007E-2</v>
      </c>
      <c r="N32" s="46">
        <f t="shared" si="0"/>
        <v>16171</v>
      </c>
      <c r="O32" s="46">
        <f t="shared" si="1"/>
        <v>16817.84</v>
      </c>
      <c r="P32" s="46">
        <f t="shared" si="2"/>
        <v>17658.732</v>
      </c>
      <c r="Q32" s="46">
        <f t="shared" si="3"/>
        <v>18365.081280000002</v>
      </c>
      <c r="R32" s="46">
        <f t="shared" si="4"/>
        <v>19099.684531200004</v>
      </c>
      <c r="S32" s="46">
        <f t="shared" si="5"/>
        <v>435048.36987733329</v>
      </c>
      <c r="T32" s="46">
        <f t="shared" si="6"/>
        <v>71845.666014855684</v>
      </c>
      <c r="U32" s="46">
        <f t="shared" si="7"/>
        <v>310183.47512943769</v>
      </c>
      <c r="V32" s="46">
        <f t="shared" si="8"/>
        <v>382029.14114429336</v>
      </c>
      <c r="W32" s="45">
        <v>40000</v>
      </c>
      <c r="X32" s="46">
        <f t="shared" si="9"/>
        <v>342029.14114429336</v>
      </c>
      <c r="Y32" s="35">
        <f t="shared" si="10"/>
        <v>345.48398095383169</v>
      </c>
      <c r="Z32" s="35">
        <f ca="1">'Generic Scoring'!AY32</f>
        <v>328.43</v>
      </c>
      <c r="AA32" s="18">
        <f t="shared" ca="1" si="11"/>
        <v>5.1925770952201938E-2</v>
      </c>
    </row>
    <row r="33" spans="1:27" x14ac:dyDescent="0.4">
      <c r="A33" t="s">
        <v>212</v>
      </c>
      <c r="B33" t="s">
        <v>222</v>
      </c>
      <c r="C33" t="s">
        <v>44</v>
      </c>
      <c r="D33" s="45">
        <v>56000</v>
      </c>
      <c r="E33" s="31">
        <v>0.42</v>
      </c>
      <c r="F33" s="45">
        <v>4700</v>
      </c>
      <c r="G33" s="31">
        <v>0.15</v>
      </c>
      <c r="H33" s="31">
        <v>0.12</v>
      </c>
      <c r="I33" s="31">
        <v>0.12</v>
      </c>
      <c r="J33" s="31">
        <v>0.1</v>
      </c>
      <c r="K33" s="31">
        <v>0.09</v>
      </c>
      <c r="L33" s="31">
        <v>0.03</v>
      </c>
      <c r="M33" s="31">
        <v>7.4999999999999997E-2</v>
      </c>
      <c r="N33" s="46">
        <f t="shared" si="0"/>
        <v>27047.999999999996</v>
      </c>
      <c r="O33" s="46">
        <f t="shared" si="1"/>
        <v>30293.759999999998</v>
      </c>
      <c r="P33" s="46">
        <f t="shared" si="2"/>
        <v>33929.011200000001</v>
      </c>
      <c r="Q33" s="46">
        <f t="shared" si="3"/>
        <v>37321.912320000003</v>
      </c>
      <c r="R33" s="46">
        <f t="shared" si="4"/>
        <v>40680.884428800004</v>
      </c>
      <c r="S33" s="46">
        <f t="shared" si="5"/>
        <v>931140.24359253352</v>
      </c>
      <c r="T33" s="46">
        <f t="shared" si="6"/>
        <v>134969.91382386061</v>
      </c>
      <c r="U33" s="46">
        <f t="shared" si="7"/>
        <v>648593.77460296918</v>
      </c>
      <c r="V33" s="46">
        <f t="shared" si="8"/>
        <v>783563.68842682976</v>
      </c>
      <c r="W33" s="45">
        <v>60000</v>
      </c>
      <c r="X33" s="46">
        <f t="shared" si="9"/>
        <v>723563.68842682976</v>
      </c>
      <c r="Y33" s="35">
        <f t="shared" si="10"/>
        <v>153.94972094187867</v>
      </c>
      <c r="Z33" s="35">
        <f ca="1">'Generic Scoring'!AY33</f>
        <v>309.41500000000002</v>
      </c>
      <c r="AA33" s="18">
        <f t="shared" ca="1" si="11"/>
        <v>-0.50244907020707252</v>
      </c>
    </row>
    <row r="34" spans="1:27" x14ac:dyDescent="0.4">
      <c r="A34" t="s">
        <v>213</v>
      </c>
      <c r="B34" t="s">
        <v>223</v>
      </c>
      <c r="C34" t="s">
        <v>49</v>
      </c>
      <c r="D34" s="45">
        <v>680000</v>
      </c>
      <c r="E34" s="31">
        <v>7.0000000000000007E-2</v>
      </c>
      <c r="F34" s="45">
        <v>8060</v>
      </c>
      <c r="G34" s="31">
        <v>0.04</v>
      </c>
      <c r="H34" s="31">
        <v>0.04</v>
      </c>
      <c r="I34" s="31">
        <v>0.04</v>
      </c>
      <c r="J34" s="31">
        <v>0.04</v>
      </c>
      <c r="K34" s="31">
        <v>0.04</v>
      </c>
      <c r="L34" s="31">
        <v>2.5000000000000001E-2</v>
      </c>
      <c r="M34" s="31">
        <v>0.06</v>
      </c>
      <c r="N34" s="46">
        <f t="shared" si="0"/>
        <v>49504.000000000007</v>
      </c>
      <c r="O34" s="46">
        <f t="shared" si="1"/>
        <v>51484.160000000003</v>
      </c>
      <c r="P34" s="46">
        <f t="shared" si="2"/>
        <v>53543.52640000001</v>
      </c>
      <c r="Q34" s="46">
        <f t="shared" si="3"/>
        <v>55685.267456000016</v>
      </c>
      <c r="R34" s="46">
        <f t="shared" si="4"/>
        <v>57912.678154240013</v>
      </c>
      <c r="S34" s="46">
        <f t="shared" si="5"/>
        <v>1696014.1459456005</v>
      </c>
      <c r="T34" s="46">
        <f t="shared" si="6"/>
        <v>224862.45270749484</v>
      </c>
      <c r="U34" s="46">
        <f t="shared" si="7"/>
        <v>1267360.4318542953</v>
      </c>
      <c r="V34" s="46">
        <f t="shared" si="8"/>
        <v>1492222.8845617902</v>
      </c>
      <c r="W34" s="45">
        <v>35000</v>
      </c>
      <c r="X34" s="46">
        <f t="shared" si="9"/>
        <v>1457222.8845617902</v>
      </c>
      <c r="Y34" s="35">
        <f t="shared" si="10"/>
        <v>180.79688394066875</v>
      </c>
      <c r="Z34" s="35">
        <f ca="1">'Generic Scoring'!AY34</f>
        <v>122.18</v>
      </c>
      <c r="AA34" s="18">
        <f t="shared" ca="1" si="11"/>
        <v>0.47975842151472203</v>
      </c>
    </row>
    <row r="35" spans="1:27" x14ac:dyDescent="0.4">
      <c r="A35" t="s">
        <v>214</v>
      </c>
      <c r="B35" t="s">
        <v>224</v>
      </c>
      <c r="C35" t="s">
        <v>50</v>
      </c>
      <c r="D35" s="45">
        <v>56500</v>
      </c>
      <c r="E35" s="31">
        <v>0.14000000000000001</v>
      </c>
      <c r="F35" s="45">
        <v>1250</v>
      </c>
      <c r="G35" s="31">
        <v>0.03</v>
      </c>
      <c r="H35" s="31">
        <v>0.02</v>
      </c>
      <c r="I35" s="31">
        <v>0.03</v>
      </c>
      <c r="J35" s="31">
        <v>0.03</v>
      </c>
      <c r="K35" s="31">
        <v>0.03</v>
      </c>
      <c r="L35" s="31">
        <v>0.02</v>
      </c>
      <c r="M35" s="31">
        <v>8.2500000000000004E-2</v>
      </c>
      <c r="N35" s="46">
        <f t="shared" si="0"/>
        <v>8147.3000000000011</v>
      </c>
      <c r="O35" s="46">
        <f t="shared" si="1"/>
        <v>8310.246000000001</v>
      </c>
      <c r="P35" s="46">
        <f t="shared" si="2"/>
        <v>8559.5533800000012</v>
      </c>
      <c r="Q35" s="46">
        <f t="shared" si="3"/>
        <v>8816.3399814000004</v>
      </c>
      <c r="R35" s="46">
        <f t="shared" si="4"/>
        <v>9080.8301808420001</v>
      </c>
      <c r="S35" s="46">
        <f t="shared" si="5"/>
        <v>148199.14855134144</v>
      </c>
      <c r="T35" s="46">
        <f t="shared" si="6"/>
        <v>33895.920612042799</v>
      </c>
      <c r="U35" s="46">
        <f t="shared" si="7"/>
        <v>99702.531030040031</v>
      </c>
      <c r="V35" s="46">
        <f t="shared" si="8"/>
        <v>133598.45164208283</v>
      </c>
      <c r="W35" s="45">
        <v>-2000</v>
      </c>
      <c r="X35" s="46">
        <f t="shared" si="9"/>
        <v>135598.45164208283</v>
      </c>
      <c r="Y35" s="35">
        <f t="shared" si="10"/>
        <v>108.47876131366627</v>
      </c>
      <c r="Z35" s="35">
        <f ca="1">'Generic Scoring'!AY35</f>
        <v>133.25</v>
      </c>
      <c r="AA35" s="18">
        <f t="shared" ca="1" si="11"/>
        <v>-0.18590047794621936</v>
      </c>
    </row>
    <row r="36" spans="1:27" x14ac:dyDescent="0.4">
      <c r="A36" t="s">
        <v>215</v>
      </c>
      <c r="B36" t="s">
        <v>225</v>
      </c>
      <c r="C36" t="s">
        <v>46</v>
      </c>
      <c r="D36" s="45">
        <v>55000</v>
      </c>
      <c r="E36" s="31">
        <v>0.23</v>
      </c>
      <c r="F36" s="45">
        <v>333</v>
      </c>
      <c r="G36" s="31">
        <v>0.06</v>
      </c>
      <c r="H36" s="31">
        <v>0.05</v>
      </c>
      <c r="I36" s="31">
        <v>6.5000000000000002E-2</v>
      </c>
      <c r="J36" s="31">
        <v>5.5E-2</v>
      </c>
      <c r="K36" s="31">
        <v>5.5E-2</v>
      </c>
      <c r="L36" s="31">
        <v>2.5000000000000001E-2</v>
      </c>
      <c r="M36" s="31">
        <v>0.08</v>
      </c>
      <c r="N36" s="46">
        <f t="shared" si="0"/>
        <v>13409</v>
      </c>
      <c r="O36" s="46">
        <f t="shared" si="1"/>
        <v>14079.45</v>
      </c>
      <c r="P36" s="46">
        <f t="shared" si="2"/>
        <v>14994.614250000001</v>
      </c>
      <c r="Q36" s="46">
        <f t="shared" si="3"/>
        <v>15819.31803375</v>
      </c>
      <c r="R36" s="46">
        <f t="shared" si="4"/>
        <v>16689.380525606248</v>
      </c>
      <c r="S36" s="46">
        <f t="shared" si="5"/>
        <v>311029.36434084369</v>
      </c>
      <c r="T36" s="46">
        <f t="shared" si="6"/>
        <v>59375.990987866651</v>
      </c>
      <c r="U36" s="46">
        <f t="shared" si="7"/>
        <v>211681.35915446738</v>
      </c>
      <c r="V36" s="46">
        <f t="shared" si="8"/>
        <v>271057.35014233401</v>
      </c>
      <c r="W36" s="45">
        <v>-25000</v>
      </c>
      <c r="X36" s="46">
        <f t="shared" si="9"/>
        <v>296057.35014233401</v>
      </c>
      <c r="Y36" s="35">
        <f t="shared" si="10"/>
        <v>889.06111153854056</v>
      </c>
      <c r="Z36" s="35">
        <f ca="1">'Generic Scoring'!AY36</f>
        <v>822.64</v>
      </c>
      <c r="AA36" s="18">
        <f t="shared" ca="1" si="11"/>
        <v>8.0741407588423339E-2</v>
      </c>
    </row>
    <row r="37" spans="1:27" x14ac:dyDescent="0.4">
      <c r="A37" t="s">
        <v>216</v>
      </c>
      <c r="B37" t="s">
        <v>226</v>
      </c>
      <c r="C37" t="s">
        <v>0</v>
      </c>
      <c r="D37" s="45">
        <v>37000</v>
      </c>
      <c r="E37" s="31">
        <v>0.14000000000000001</v>
      </c>
      <c r="F37" s="45">
        <v>650</v>
      </c>
      <c r="G37" s="31">
        <v>0.04</v>
      </c>
      <c r="H37" s="31">
        <v>0.05</v>
      </c>
      <c r="I37" s="31">
        <v>0.06</v>
      </c>
      <c r="J37" s="31">
        <v>0.05</v>
      </c>
      <c r="K37" s="31">
        <v>0.05</v>
      </c>
      <c r="L37" s="31">
        <v>2.5000000000000001E-2</v>
      </c>
      <c r="M37" s="31">
        <v>7.2499999999999995E-2</v>
      </c>
      <c r="N37" s="46">
        <f t="shared" si="0"/>
        <v>5387.2000000000007</v>
      </c>
      <c r="O37" s="46">
        <f t="shared" si="1"/>
        <v>5656.56</v>
      </c>
      <c r="P37" s="46">
        <f t="shared" si="2"/>
        <v>5995.9536000000016</v>
      </c>
      <c r="Q37" s="46">
        <f t="shared" si="3"/>
        <v>6295.7512800000022</v>
      </c>
      <c r="R37" s="46">
        <f t="shared" si="4"/>
        <v>6610.5388440000024</v>
      </c>
      <c r="S37" s="46">
        <f t="shared" si="5"/>
        <v>142648.469791579</v>
      </c>
      <c r="T37" s="46">
        <f t="shared" si="6"/>
        <v>24217.936415024949</v>
      </c>
      <c r="U37" s="46">
        <f t="shared" si="7"/>
        <v>100526.51177722242</v>
      </c>
      <c r="V37" s="46">
        <f t="shared" si="8"/>
        <v>124744.44819224736</v>
      </c>
      <c r="W37" s="45">
        <v>18000</v>
      </c>
      <c r="X37" s="46">
        <f t="shared" si="9"/>
        <v>106744.44819224736</v>
      </c>
      <c r="Y37" s="35">
        <f t="shared" si="10"/>
        <v>164.22222798807286</v>
      </c>
      <c r="Z37" s="35">
        <f ca="1">'Generic Scoring'!AY37</f>
        <v>225.17</v>
      </c>
      <c r="AA37" s="18">
        <f t="shared" ca="1" si="11"/>
        <v>-0.27067447711474502</v>
      </c>
    </row>
    <row r="38" spans="1:27" x14ac:dyDescent="0.4">
      <c r="A38" t="s">
        <v>217</v>
      </c>
      <c r="B38" t="s">
        <v>227</v>
      </c>
      <c r="C38" t="s">
        <v>52</v>
      </c>
      <c r="D38" s="45">
        <v>26000</v>
      </c>
      <c r="E38" s="31">
        <v>0.1</v>
      </c>
      <c r="F38" s="45">
        <v>1090</v>
      </c>
      <c r="G38" s="31">
        <v>0.04</v>
      </c>
      <c r="H38" s="31">
        <v>0.05</v>
      </c>
      <c r="I38" s="31">
        <v>0.06</v>
      </c>
      <c r="J38" s="31">
        <v>0.05</v>
      </c>
      <c r="K38" s="31">
        <v>0.05</v>
      </c>
      <c r="L38" s="31">
        <v>2.5000000000000001E-2</v>
      </c>
      <c r="M38" s="31">
        <v>0.05</v>
      </c>
      <c r="N38" s="46">
        <f t="shared" si="0"/>
        <v>2704</v>
      </c>
      <c r="O38" s="46">
        <f t="shared" si="1"/>
        <v>2839.2000000000003</v>
      </c>
      <c r="P38" s="46">
        <f t="shared" si="2"/>
        <v>3009.5520000000001</v>
      </c>
      <c r="Q38" s="46">
        <f t="shared" si="3"/>
        <v>3160.0296000000003</v>
      </c>
      <c r="R38" s="46">
        <f t="shared" si="4"/>
        <v>3318.0310800000007</v>
      </c>
      <c r="S38" s="46">
        <f t="shared" si="5"/>
        <v>136039.27428000001</v>
      </c>
      <c r="T38" s="46">
        <f t="shared" si="6"/>
        <v>12949.768707482994</v>
      </c>
      <c r="U38" s="46">
        <f t="shared" si="7"/>
        <v>106590.33106575963</v>
      </c>
      <c r="V38" s="46">
        <f t="shared" si="8"/>
        <v>119540.09977324262</v>
      </c>
      <c r="W38" s="45">
        <v>45000</v>
      </c>
      <c r="X38" s="46">
        <f t="shared" si="9"/>
        <v>74540.099773242619</v>
      </c>
      <c r="Y38" s="35">
        <f t="shared" si="10"/>
        <v>68.3854126360024</v>
      </c>
      <c r="Z38" s="35">
        <f ca="1">'Generic Scoring'!AY38</f>
        <v>95.42</v>
      </c>
      <c r="AA38" s="18">
        <f t="shared" ca="1" si="11"/>
        <v>-0.28332202225945924</v>
      </c>
    </row>
    <row r="39" spans="1:27" x14ac:dyDescent="0.4">
      <c r="A39" t="s">
        <v>282</v>
      </c>
      <c r="B39" t="s">
        <v>286</v>
      </c>
      <c r="C39" t="s">
        <v>0</v>
      </c>
      <c r="D39" s="45">
        <v>38070</v>
      </c>
      <c r="E39" s="31">
        <v>9.7000000000000003E-2</v>
      </c>
      <c r="F39" s="45">
        <v>275</v>
      </c>
      <c r="G39" s="31">
        <v>0.12</v>
      </c>
      <c r="H39" s="31">
        <v>0.1</v>
      </c>
      <c r="I39" s="31">
        <v>0.08</v>
      </c>
      <c r="J39" s="31">
        <v>7.0000000000000007E-2</v>
      </c>
      <c r="K39" s="31">
        <v>0.06</v>
      </c>
      <c r="L39" s="31">
        <v>2.5000000000000001E-2</v>
      </c>
      <c r="M39" s="31">
        <v>0.09</v>
      </c>
      <c r="N39" s="46">
        <f t="shared" ref="N39:N42" si="12">D39*(1+G39)*E39</f>
        <v>4135.9248000000007</v>
      </c>
      <c r="O39" s="46">
        <f t="shared" ref="O39:O42" si="13">D39*(1+G39)*(1+H39)*E39</f>
        <v>4549.5172800000009</v>
      </c>
      <c r="P39" s="46">
        <f t="shared" ref="P39:P42" si="14">D39*(1+G39)*(1+H39)*(1+I39)*E39</f>
        <v>4913.4786624000017</v>
      </c>
      <c r="Q39" s="46">
        <f t="shared" ref="Q39:Q42" si="15">D39*(1+G39)*(1+H39)*(1+I39)*(1+J39)*E39</f>
        <v>5257.422168768001</v>
      </c>
      <c r="R39" s="46">
        <f t="shared" ref="R39:R42" si="16">D39*(1+G39)*(1+H39)*(1+I39)*(1+J39)*(1+K39)*E39</f>
        <v>5572.8674988940811</v>
      </c>
      <c r="S39" s="46">
        <f t="shared" ref="S39:S42" si="17">R39*(1+L39)/(M39-L39)</f>
        <v>87879.833636406649</v>
      </c>
      <c r="T39" s="46">
        <f t="shared" ref="T39:T42" si="18">N39/(1+M39)+O39/(1+M39)^2+P39/(1+M39)^3+Q39/(1+M39)^4+R39/(1+M39)^5</f>
        <v>18764.243057134201</v>
      </c>
      <c r="U39" s="46">
        <f t="shared" ref="U39:U42" si="19">S39/(1+M39)^5</f>
        <v>57115.862102977728</v>
      </c>
      <c r="V39" s="46">
        <f t="shared" ref="V39:V42" si="20">T39+U39</f>
        <v>75880.105160111925</v>
      </c>
      <c r="W39" s="45">
        <v>-7740</v>
      </c>
      <c r="X39" s="46">
        <f t="shared" ref="X39:X42" si="21">V39-W39</f>
        <v>83620.105160111925</v>
      </c>
      <c r="Y39" s="35">
        <f t="shared" ref="Y39:Y42" si="22">X39/F39</f>
        <v>304.0731096731343</v>
      </c>
      <c r="Z39" s="35">
        <f ca="1">'Generic Scoring'!AY39</f>
        <v>873.12</v>
      </c>
      <c r="AA39" s="18">
        <f t="shared" ref="AA39:AA42" ca="1" si="23">IF(Z39=0,"",(Y39-Z39)/Z39)</f>
        <v>-0.65173961234064692</v>
      </c>
    </row>
    <row r="40" spans="1:27" x14ac:dyDescent="0.4">
      <c r="A40" t="s">
        <v>283</v>
      </c>
      <c r="B40" t="s">
        <v>287</v>
      </c>
      <c r="C40" t="s">
        <v>0</v>
      </c>
      <c r="D40" s="45">
        <v>2020</v>
      </c>
      <c r="E40" s="31">
        <v>2.8000000000000001E-2</v>
      </c>
      <c r="F40" s="45">
        <v>281</v>
      </c>
      <c r="G40" s="31">
        <v>0.3</v>
      </c>
      <c r="H40" s="31">
        <v>0.25</v>
      </c>
      <c r="I40" s="31">
        <v>0.2</v>
      </c>
      <c r="J40" s="31">
        <v>0.15</v>
      </c>
      <c r="K40" s="31">
        <v>0.12</v>
      </c>
      <c r="L40" s="31">
        <v>0.03</v>
      </c>
      <c r="M40" s="31">
        <v>0.11</v>
      </c>
      <c r="N40" s="46">
        <f t="shared" si="12"/>
        <v>73.528000000000006</v>
      </c>
      <c r="O40" s="46">
        <f t="shared" si="13"/>
        <v>91.91</v>
      </c>
      <c r="P40" s="46">
        <f t="shared" si="14"/>
        <v>110.292</v>
      </c>
      <c r="Q40" s="46">
        <f t="shared" si="15"/>
        <v>126.83579999999999</v>
      </c>
      <c r="R40" s="46">
        <f t="shared" si="16"/>
        <v>142.056096</v>
      </c>
      <c r="S40" s="46">
        <f t="shared" si="17"/>
        <v>1828.9722359999998</v>
      </c>
      <c r="T40" s="46">
        <f t="shared" si="18"/>
        <v>389.3362680278214</v>
      </c>
      <c r="U40" s="46">
        <f t="shared" si="19"/>
        <v>1085.4060024364314</v>
      </c>
      <c r="V40" s="46">
        <f t="shared" si="20"/>
        <v>1474.7422704642529</v>
      </c>
      <c r="W40" s="45">
        <v>542</v>
      </c>
      <c r="X40" s="46">
        <f t="shared" si="21"/>
        <v>932.7422704642529</v>
      </c>
      <c r="Y40" s="35">
        <f t="shared" si="22"/>
        <v>3.3193675105489429</v>
      </c>
      <c r="Z40" s="35">
        <f ca="1">'Generic Scoring'!AY40</f>
        <v>133.72999999999999</v>
      </c>
      <c r="AA40" s="18">
        <f t="shared" ca="1" si="23"/>
        <v>-0.97517858737344687</v>
      </c>
    </row>
    <row r="41" spans="1:27" x14ac:dyDescent="0.4">
      <c r="A41" t="s">
        <v>284</v>
      </c>
      <c r="B41" t="s">
        <v>288</v>
      </c>
      <c r="C41" t="s">
        <v>0</v>
      </c>
      <c r="D41" s="45">
        <v>10230</v>
      </c>
      <c r="E41" s="31">
        <v>0.185</v>
      </c>
      <c r="F41" s="45">
        <v>383</v>
      </c>
      <c r="G41" s="31">
        <v>0.2</v>
      </c>
      <c r="H41" s="31">
        <v>0.15</v>
      </c>
      <c r="I41" s="31">
        <v>0.12</v>
      </c>
      <c r="J41" s="31">
        <v>0.1</v>
      </c>
      <c r="K41" s="31">
        <v>0.08</v>
      </c>
      <c r="L41" s="31">
        <v>2.5000000000000001E-2</v>
      </c>
      <c r="M41" s="31">
        <v>9.5000000000000001E-2</v>
      </c>
      <c r="N41" s="46">
        <f t="shared" si="12"/>
        <v>2271.06</v>
      </c>
      <c r="O41" s="46">
        <f t="shared" si="13"/>
        <v>2611.7190000000001</v>
      </c>
      <c r="P41" s="46">
        <f t="shared" si="14"/>
        <v>2925.1252800000002</v>
      </c>
      <c r="Q41" s="46">
        <f t="shared" si="15"/>
        <v>3217.6378080000009</v>
      </c>
      <c r="R41" s="46">
        <f t="shared" si="16"/>
        <v>3475.0488326400014</v>
      </c>
      <c r="S41" s="46">
        <f t="shared" si="17"/>
        <v>50884.643620800009</v>
      </c>
      <c r="T41" s="46">
        <f t="shared" si="18"/>
        <v>10925.715923540494</v>
      </c>
      <c r="U41" s="46">
        <f t="shared" si="19"/>
        <v>32323.333365940351</v>
      </c>
      <c r="V41" s="46">
        <f t="shared" si="20"/>
        <v>43249.049289480841</v>
      </c>
      <c r="W41" s="45">
        <v>1380</v>
      </c>
      <c r="X41" s="46">
        <f t="shared" si="21"/>
        <v>41869.049289480841</v>
      </c>
      <c r="Y41" s="35">
        <f t="shared" si="22"/>
        <v>109.3186665521693</v>
      </c>
      <c r="Z41" s="35">
        <f ca="1">'Generic Scoring'!AY41</f>
        <v>252.4</v>
      </c>
      <c r="AA41" s="18">
        <f t="shared" ca="1" si="23"/>
        <v>-0.56688325454766519</v>
      </c>
    </row>
    <row r="42" spans="1:27" x14ac:dyDescent="0.4">
      <c r="A42" t="s">
        <v>285</v>
      </c>
      <c r="B42" t="s">
        <v>289</v>
      </c>
      <c r="C42" t="s">
        <v>0</v>
      </c>
      <c r="D42" s="45">
        <v>26630</v>
      </c>
      <c r="E42" s="31">
        <v>0.115</v>
      </c>
      <c r="F42" s="45">
        <v>388</v>
      </c>
      <c r="G42" s="31">
        <v>0.08</v>
      </c>
      <c r="H42" s="31">
        <v>7.0000000000000007E-2</v>
      </c>
      <c r="I42" s="31">
        <v>7.0000000000000007E-2</v>
      </c>
      <c r="J42" s="31">
        <v>0.06</v>
      </c>
      <c r="K42" s="31">
        <v>0.06</v>
      </c>
      <c r="L42" s="31">
        <v>2.5000000000000001E-2</v>
      </c>
      <c r="M42" s="31">
        <v>8.5000000000000006E-2</v>
      </c>
      <c r="N42" s="46">
        <f t="shared" si="12"/>
        <v>3307.4460000000004</v>
      </c>
      <c r="O42" s="46">
        <f t="shared" si="13"/>
        <v>3538.9672200000005</v>
      </c>
      <c r="P42" s="46">
        <f t="shared" si="14"/>
        <v>3786.694925400001</v>
      </c>
      <c r="Q42" s="46">
        <f t="shared" si="15"/>
        <v>4013.8966209240011</v>
      </c>
      <c r="R42" s="46">
        <f t="shared" si="16"/>
        <v>4254.7304181794416</v>
      </c>
      <c r="S42" s="46">
        <f t="shared" si="17"/>
        <v>72684.97797723212</v>
      </c>
      <c r="T42" s="46">
        <f t="shared" si="18"/>
        <v>14745.07943870776</v>
      </c>
      <c r="U42" s="46">
        <f t="shared" si="19"/>
        <v>48338.811945579</v>
      </c>
      <c r="V42" s="46">
        <f t="shared" si="20"/>
        <v>63083.891384286762</v>
      </c>
      <c r="W42" s="45">
        <v>7200</v>
      </c>
      <c r="X42" s="46">
        <f t="shared" si="21"/>
        <v>55883.891384286762</v>
      </c>
      <c r="Y42" s="35">
        <f t="shared" si="22"/>
        <v>144.0306478976463</v>
      </c>
      <c r="Z42" s="35">
        <f ca="1">'Generic Scoring'!AY42</f>
        <v>357.1</v>
      </c>
      <c r="AA42" s="18">
        <f t="shared" ca="1" si="23"/>
        <v>-0.59666578578088403</v>
      </c>
    </row>
    <row r="43" spans="1:27" x14ac:dyDescent="0.4">
      <c r="A43" t="s">
        <v>290</v>
      </c>
      <c r="B43" t="s">
        <v>292</v>
      </c>
      <c r="C43" t="s">
        <v>44</v>
      </c>
      <c r="D43" s="45">
        <v>809</v>
      </c>
      <c r="E43" s="31">
        <v>0.15</v>
      </c>
      <c r="F43" s="45">
        <v>298</v>
      </c>
      <c r="G43" s="31">
        <v>0.5</v>
      </c>
      <c r="H43" s="31">
        <v>0.4</v>
      </c>
      <c r="I43" s="31">
        <v>0.3</v>
      </c>
      <c r="J43" s="31">
        <v>0.25</v>
      </c>
      <c r="K43" s="31">
        <v>0.2</v>
      </c>
      <c r="L43" s="31">
        <v>0.03</v>
      </c>
      <c r="M43" s="31">
        <v>0.12</v>
      </c>
      <c r="N43" s="46">
        <f t="shared" ref="N43:N44" si="24">D43*(1+G43)*E43</f>
        <v>182.02500000000001</v>
      </c>
      <c r="O43" s="46">
        <f t="shared" ref="O43:O44" si="25">D43*(1+G43)*(1+H43)*E43</f>
        <v>254.83499999999998</v>
      </c>
      <c r="P43" s="46">
        <f t="shared" ref="P43:P44" si="26">D43*(1+G43)*(1+H43)*(1+I43)*E43</f>
        <v>331.28549999999996</v>
      </c>
      <c r="Q43" s="46">
        <f t="shared" ref="Q43:Q44" si="27">D43*(1+G43)*(1+H43)*(1+I43)*(1+J43)*E43</f>
        <v>414.10687499999995</v>
      </c>
      <c r="R43" s="46">
        <f t="shared" ref="R43:R44" si="28">D43*(1+G43)*(1+H43)*(1+I43)*(1+J43)*(1+K43)*E43</f>
        <v>496.92824999999993</v>
      </c>
      <c r="S43" s="46">
        <f t="shared" ref="S43:S44" si="29">R43*(1+L43)/(M43-L43)</f>
        <v>5687.0677499999993</v>
      </c>
      <c r="T43" s="46">
        <f t="shared" ref="T43:T44" si="30">N43/(1+M43)+O43/(1+M43)^2+P43/(1+M43)^3+Q43/(1+M43)^4+R43/(1+M43)^5</f>
        <v>1146.6205383707511</v>
      </c>
      <c r="U43" s="46">
        <f t="shared" ref="U43:U44" si="31">S43/(1+M43)^5</f>
        <v>3226.9949716411484</v>
      </c>
      <c r="V43" s="46">
        <f t="shared" ref="V43:V44" si="32">T43+U43</f>
        <v>4373.6155100118995</v>
      </c>
      <c r="W43" s="45">
        <v>500</v>
      </c>
      <c r="X43" s="46">
        <f t="shared" ref="X43:X44" si="33">V43-W43</f>
        <v>3873.6155100118995</v>
      </c>
      <c r="Y43" s="35">
        <f t="shared" ref="Y43:Y44" si="34">X43/F43</f>
        <v>12.998709765140601</v>
      </c>
      <c r="Z43" s="35">
        <f ca="1">'Generic Scoring'!AY43</f>
        <v>37.450000000000003</v>
      </c>
      <c r="AA43" s="18">
        <f t="shared" ref="AA43:AA44" ca="1" si="35">IF(Z43=0,"",(Y43-Z43)/Z43)</f>
        <v>-0.65290494619117212</v>
      </c>
    </row>
    <row r="44" spans="1:27" x14ac:dyDescent="0.4">
      <c r="A44" t="s">
        <v>291</v>
      </c>
      <c r="B44" t="s">
        <v>293</v>
      </c>
      <c r="C44" t="s">
        <v>44</v>
      </c>
      <c r="D44" s="45">
        <v>330</v>
      </c>
      <c r="E44" s="31">
        <v>0.05</v>
      </c>
      <c r="F44" s="45">
        <v>290</v>
      </c>
      <c r="G44" s="31">
        <v>0.8</v>
      </c>
      <c r="H44" s="31">
        <v>0.5</v>
      </c>
      <c r="I44" s="31">
        <v>0.35</v>
      </c>
      <c r="J44" s="31">
        <v>0.25</v>
      </c>
      <c r="K44" s="31">
        <v>0.2</v>
      </c>
      <c r="L44" s="31">
        <v>2.5000000000000001E-2</v>
      </c>
      <c r="M44" s="31">
        <v>0.13</v>
      </c>
      <c r="N44" s="46">
        <f t="shared" si="24"/>
        <v>29.700000000000003</v>
      </c>
      <c r="O44" s="46">
        <f t="shared" si="25"/>
        <v>44.550000000000004</v>
      </c>
      <c r="P44" s="46">
        <f t="shared" si="26"/>
        <v>60.142500000000013</v>
      </c>
      <c r="Q44" s="46">
        <f t="shared" si="27"/>
        <v>75.178125000000009</v>
      </c>
      <c r="R44" s="46">
        <f t="shared" si="28"/>
        <v>90.213750000000019</v>
      </c>
      <c r="S44" s="46">
        <f t="shared" si="29"/>
        <v>880.6580357142858</v>
      </c>
      <c r="T44" s="46">
        <f t="shared" si="30"/>
        <v>197.92670112038834</v>
      </c>
      <c r="U44" s="46">
        <f t="shared" si="31"/>
        <v>477.9858991016859</v>
      </c>
      <c r="V44" s="46">
        <f t="shared" si="32"/>
        <v>675.91260022207427</v>
      </c>
      <c r="W44" s="45">
        <v>800</v>
      </c>
      <c r="X44" s="46">
        <f t="shared" si="33"/>
        <v>-124.08739977792573</v>
      </c>
      <c r="Y44" s="35">
        <f t="shared" si="34"/>
        <v>-0.42788758544112321</v>
      </c>
      <c r="Z44" s="35">
        <f ca="1">'Generic Scoring'!AY44</f>
        <v>15.79</v>
      </c>
      <c r="AA44" s="18">
        <f t="shared" ca="1" si="35"/>
        <v>-1.0270986437898115</v>
      </c>
    </row>
    <row r="45" spans="1:27" x14ac:dyDescent="0.4">
      <c r="A45" t="s">
        <v>294</v>
      </c>
      <c r="B45" t="s">
        <v>295</v>
      </c>
      <c r="C45" t="s">
        <v>0</v>
      </c>
      <c r="D45" s="45">
        <v>91</v>
      </c>
      <c r="E45" s="31">
        <v>0.15</v>
      </c>
      <c r="F45" s="45">
        <v>230</v>
      </c>
      <c r="G45" s="31">
        <v>0.4</v>
      </c>
      <c r="H45" s="31">
        <v>0.3</v>
      </c>
      <c r="I45" s="31">
        <v>0.25</v>
      </c>
      <c r="J45" s="31">
        <v>0.2</v>
      </c>
      <c r="K45" s="31">
        <v>0.15</v>
      </c>
      <c r="L45" s="31">
        <v>0.03</v>
      </c>
      <c r="M45" s="31">
        <v>0.11</v>
      </c>
      <c r="N45" s="46">
        <f t="shared" ref="N45" si="36">D45*(1+G45)*E45</f>
        <v>19.11</v>
      </c>
      <c r="O45" s="46">
        <f t="shared" ref="O45" si="37">D45*(1+G45)*(1+H45)*E45</f>
        <v>24.843</v>
      </c>
      <c r="P45" s="46">
        <f t="shared" ref="P45" si="38">D45*(1+G45)*(1+H45)*(1+I45)*E45</f>
        <v>31.053750000000001</v>
      </c>
      <c r="Q45" s="46">
        <f t="shared" ref="Q45" si="39">D45*(1+G45)*(1+H45)*(1+I45)*(1+J45)*E45</f>
        <v>37.264499999999998</v>
      </c>
      <c r="R45" s="46">
        <f t="shared" ref="R45" si="40">D45*(1+G45)*(1+H45)*(1+I45)*(1+J45)*(1+K45)*E45</f>
        <v>42.854174999999998</v>
      </c>
      <c r="S45" s="46">
        <f t="shared" ref="S45" si="41">R45*(1+L45)/(M45-L45)</f>
        <v>551.74750312499998</v>
      </c>
      <c r="T45" s="46">
        <f t="shared" ref="T45" si="42">N45/(1+M45)+O45/(1+M45)^2+P45/(1+M45)^3+Q45/(1+M45)^4+R45/(1+M45)^5</f>
        <v>110.06473413500289</v>
      </c>
      <c r="U45" s="46">
        <f t="shared" ref="U45" si="43">S45/(1+M45)^5</f>
        <v>327.43528848252498</v>
      </c>
      <c r="V45" s="46">
        <f t="shared" ref="V45" si="44">T45+U45</f>
        <v>437.50002261752786</v>
      </c>
      <c r="W45" s="45">
        <v>-126</v>
      </c>
      <c r="X45" s="46">
        <f t="shared" ref="X45" si="45">V45-W45</f>
        <v>563.50002261752786</v>
      </c>
      <c r="Y45" s="35">
        <f t="shared" ref="Y45" si="46">X45/F45</f>
        <v>2.4500000983370778</v>
      </c>
      <c r="Z45" s="35">
        <f ca="1">'Generic Scoring'!AY45</f>
        <v>8.23</v>
      </c>
      <c r="AA45" s="18">
        <f t="shared" ref="AA45" ca="1" si="47">IF(Z45=0,"",(Y45-Z45)/Z45)</f>
        <v>-0.70230861502587139</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D59EA-71C1-4516-B754-306184B3211B}">
  <dimension ref="A1:I43"/>
  <sheetViews>
    <sheetView topLeftCell="A31" workbookViewId="0"/>
  </sheetViews>
  <sheetFormatPr baseColWidth="10" defaultRowHeight="14.6" x14ac:dyDescent="0.4"/>
  <cols>
    <col min="1" max="1" width="5.3828125" customWidth="1"/>
    <col min="2" max="2" width="26.921875" customWidth="1"/>
    <col min="3" max="3" width="11.69140625" customWidth="1"/>
    <col min="4" max="4" width="13.4609375" customWidth="1"/>
    <col min="5" max="5" width="17.921875" customWidth="1"/>
    <col min="6" max="8" width="16.15234375" customWidth="1"/>
    <col min="9" max="9" width="13.4609375" customWidth="1"/>
  </cols>
  <sheetData>
    <row r="1" spans="1:9" ht="18.45" x14ac:dyDescent="0.5">
      <c r="A1" s="26" t="s">
        <v>172</v>
      </c>
    </row>
    <row r="2" spans="1:9" x14ac:dyDescent="0.4">
      <c r="A2" s="27" t="s">
        <v>173</v>
      </c>
    </row>
    <row r="4" spans="1:9" ht="15.9" x14ac:dyDescent="0.45">
      <c r="A4" s="29" t="s">
        <v>174</v>
      </c>
    </row>
    <row r="5" spans="1:9" x14ac:dyDescent="0.4">
      <c r="B5" s="25" t="s">
        <v>175</v>
      </c>
      <c r="C5" s="30">
        <v>1000000</v>
      </c>
      <c r="E5" s="25" t="s">
        <v>176</v>
      </c>
      <c r="F5" s="31">
        <v>0.02</v>
      </c>
      <c r="H5" s="25" t="s">
        <v>177</v>
      </c>
      <c r="I5" s="32">
        <v>5000</v>
      </c>
    </row>
    <row r="6" spans="1:9" x14ac:dyDescent="0.4">
      <c r="B6" t="s">
        <v>178</v>
      </c>
      <c r="E6" t="s">
        <v>178</v>
      </c>
      <c r="H6" t="s">
        <v>178</v>
      </c>
    </row>
    <row r="8" spans="1:9" x14ac:dyDescent="0.4">
      <c r="A8" s="14" t="s">
        <v>74</v>
      </c>
      <c r="B8" s="14" t="s">
        <v>1</v>
      </c>
      <c r="C8" s="14" t="s">
        <v>135</v>
      </c>
      <c r="D8" s="14" t="s">
        <v>179</v>
      </c>
      <c r="E8" s="14" t="s">
        <v>157</v>
      </c>
      <c r="F8" s="14" t="s">
        <v>180</v>
      </c>
      <c r="G8" s="14" t="s">
        <v>181</v>
      </c>
      <c r="H8" s="14" t="s">
        <v>182</v>
      </c>
      <c r="I8" s="14" t="s">
        <v>183</v>
      </c>
    </row>
    <row r="9" spans="1:9" x14ac:dyDescent="0.4">
      <c r="A9" s="16">
        <v>1</v>
      </c>
      <c r="B9" s="16" t="s">
        <v>3</v>
      </c>
      <c r="C9" s="16" t="s">
        <v>138</v>
      </c>
      <c r="D9" s="28">
        <f>'Generic Dashboard'!E4</f>
        <v>93</v>
      </c>
      <c r="E9" s="16" t="str">
        <f ca="1">'Generic Dashboard'!I4</f>
        <v>🟢 Core A+</v>
      </c>
      <c r="F9" s="17">
        <f t="shared" ref="F9:F23" si="0">IF(D9&gt;=90,0.06,IF(D9&gt;=85,0.04,IF(D9&gt;=75,0.02,0)))</f>
        <v>0.06</v>
      </c>
      <c r="G9" s="17">
        <f t="shared" ref="G9:G23" si="1">IF(D9&gt;=90,0.08,IF(D9&gt;=85,0.06,IF(D9&gt;=75,0.04,0.015)))</f>
        <v>0.08</v>
      </c>
      <c r="H9" s="17">
        <f t="shared" ref="H9:H24" si="2">MIN(G9,MAX(F9,D9/SUM($D$9:$D$43)))</f>
        <v>0.06</v>
      </c>
      <c r="I9" s="16" t="str">
        <f t="shared" ref="I9:I23" si="3">IF(H9&gt;G9,"🔴 Over",IF(H9&lt;F9,"🔵 Under","✅ OK"))</f>
        <v>✅ OK</v>
      </c>
    </row>
    <row r="10" spans="1:9" x14ac:dyDescent="0.4">
      <c r="A10" s="16">
        <v>2</v>
      </c>
      <c r="B10" s="16" t="s">
        <v>117</v>
      </c>
      <c r="C10" s="16" t="s">
        <v>139</v>
      </c>
      <c r="D10" s="28">
        <f>'Generic Dashboard'!E5</f>
        <v>78</v>
      </c>
      <c r="E10" s="16" t="str">
        <f ca="1">'Generic Dashboard'!I5</f>
        <v>🔴 Avoid</v>
      </c>
      <c r="F10" s="17">
        <f t="shared" si="0"/>
        <v>0.02</v>
      </c>
      <c r="G10" s="17">
        <f t="shared" si="1"/>
        <v>0.04</v>
      </c>
      <c r="H10" s="17">
        <f t="shared" si="2"/>
        <v>2.9071934401789044E-2</v>
      </c>
      <c r="I10" s="16" t="str">
        <f t="shared" si="3"/>
        <v>✅ OK</v>
      </c>
    </row>
    <row r="11" spans="1:9" x14ac:dyDescent="0.4">
      <c r="A11" s="16">
        <v>3</v>
      </c>
      <c r="B11" s="16" t="s">
        <v>118</v>
      </c>
      <c r="C11" s="16" t="s">
        <v>140</v>
      </c>
      <c r="D11" s="28">
        <f>'Generic Dashboard'!E6</f>
        <v>81</v>
      </c>
      <c r="E11" s="16" t="str">
        <f ca="1">'Generic Dashboard'!I6</f>
        <v>⚪ Opcional</v>
      </c>
      <c r="F11" s="17">
        <f t="shared" si="0"/>
        <v>0.02</v>
      </c>
      <c r="G11" s="17">
        <f t="shared" si="1"/>
        <v>0.04</v>
      </c>
      <c r="H11" s="17">
        <f t="shared" si="2"/>
        <v>3.0190085724934774E-2</v>
      </c>
      <c r="I11" s="16" t="str">
        <f t="shared" si="3"/>
        <v>✅ OK</v>
      </c>
    </row>
    <row r="12" spans="1:9" x14ac:dyDescent="0.4">
      <c r="A12" s="16">
        <v>4</v>
      </c>
      <c r="B12" s="16" t="s">
        <v>119</v>
      </c>
      <c r="C12" s="16" t="s">
        <v>141</v>
      </c>
      <c r="D12" s="28">
        <f>'Generic Dashboard'!E7</f>
        <v>83</v>
      </c>
      <c r="E12" s="16" t="str">
        <f ca="1">'Generic Dashboard'!I7</f>
        <v>🟡 Satélite</v>
      </c>
      <c r="F12" s="17">
        <f t="shared" si="0"/>
        <v>0.02</v>
      </c>
      <c r="G12" s="17">
        <f t="shared" si="1"/>
        <v>0.04</v>
      </c>
      <c r="H12" s="17">
        <f t="shared" si="2"/>
        <v>3.0935519940365263E-2</v>
      </c>
      <c r="I12" s="16" t="str">
        <f t="shared" si="3"/>
        <v>✅ OK</v>
      </c>
    </row>
    <row r="13" spans="1:9" x14ac:dyDescent="0.4">
      <c r="A13" s="16">
        <v>5</v>
      </c>
      <c r="B13" s="16" t="s">
        <v>92</v>
      </c>
      <c r="C13" s="16" t="s">
        <v>142</v>
      </c>
      <c r="D13" s="28">
        <f>'Generic Dashboard'!E8</f>
        <v>64</v>
      </c>
      <c r="E13" s="16" t="str">
        <f ca="1">'Generic Dashboard'!I8</f>
        <v>🔴 Avoid</v>
      </c>
      <c r="F13" s="17">
        <f t="shared" si="0"/>
        <v>0</v>
      </c>
      <c r="G13" s="17">
        <f t="shared" si="1"/>
        <v>1.4999999999999999E-2</v>
      </c>
      <c r="H13" s="17">
        <f t="shared" si="2"/>
        <v>1.4999999999999999E-2</v>
      </c>
      <c r="I13" s="16" t="str">
        <f t="shared" si="3"/>
        <v>✅ OK</v>
      </c>
    </row>
    <row r="14" spans="1:9" x14ac:dyDescent="0.4">
      <c r="A14" s="16">
        <v>6</v>
      </c>
      <c r="B14" s="16" t="s">
        <v>120</v>
      </c>
      <c r="C14" s="16" t="s">
        <v>143</v>
      </c>
      <c r="D14" s="28">
        <f>'Generic Dashboard'!E9</f>
        <v>79</v>
      </c>
      <c r="E14" s="16" t="str">
        <f ca="1">'Generic Dashboard'!I9</f>
        <v>⚪ Opcional</v>
      </c>
      <c r="F14" s="17">
        <f t="shared" si="0"/>
        <v>0.02</v>
      </c>
      <c r="G14" s="17">
        <f t="shared" si="1"/>
        <v>0.04</v>
      </c>
      <c r="H14" s="17">
        <f t="shared" si="2"/>
        <v>2.9444651509504285E-2</v>
      </c>
      <c r="I14" s="16" t="str">
        <f t="shared" si="3"/>
        <v>✅ OK</v>
      </c>
    </row>
    <row r="15" spans="1:9" x14ac:dyDescent="0.4">
      <c r="A15" s="16">
        <v>7</v>
      </c>
      <c r="B15" s="16" t="s">
        <v>121</v>
      </c>
      <c r="C15" s="16" t="s">
        <v>144</v>
      </c>
      <c r="D15" s="28">
        <f>'Generic Dashboard'!E10</f>
        <v>77</v>
      </c>
      <c r="E15" s="16" t="str">
        <f ca="1">'Generic Dashboard'!I10</f>
        <v>🟡 Satélite</v>
      </c>
      <c r="F15" s="17">
        <f t="shared" si="0"/>
        <v>0.02</v>
      </c>
      <c r="G15" s="17">
        <f t="shared" si="1"/>
        <v>0.04</v>
      </c>
      <c r="H15" s="17">
        <f t="shared" si="2"/>
        <v>2.8699217294073799E-2</v>
      </c>
      <c r="I15" s="16" t="str">
        <f t="shared" si="3"/>
        <v>✅ OK</v>
      </c>
    </row>
    <row r="16" spans="1:9" x14ac:dyDescent="0.4">
      <c r="A16" s="16">
        <v>8</v>
      </c>
      <c r="B16" s="16" t="s">
        <v>122</v>
      </c>
      <c r="C16" s="16" t="s">
        <v>145</v>
      </c>
      <c r="D16" s="28">
        <f>'Generic Dashboard'!E11</f>
        <v>92</v>
      </c>
      <c r="E16" s="16" t="str">
        <f ca="1">'Generic Dashboard'!I11</f>
        <v>🟢 Core A+</v>
      </c>
      <c r="F16" s="17">
        <f t="shared" si="0"/>
        <v>0.06</v>
      </c>
      <c r="G16" s="17">
        <f t="shared" si="1"/>
        <v>0.08</v>
      </c>
      <c r="H16" s="17">
        <f t="shared" si="2"/>
        <v>0.06</v>
      </c>
      <c r="I16" s="16" t="str">
        <f t="shared" si="3"/>
        <v>✅ OK</v>
      </c>
    </row>
    <row r="17" spans="1:9" x14ac:dyDescent="0.4">
      <c r="A17" s="16">
        <v>9</v>
      </c>
      <c r="B17" s="16" t="s">
        <v>123</v>
      </c>
      <c r="C17" s="16" t="s">
        <v>146</v>
      </c>
      <c r="D17" s="28">
        <f>'Generic Dashboard'!E12</f>
        <v>83</v>
      </c>
      <c r="E17" s="16" t="str">
        <f ca="1">'Generic Dashboard'!I12</f>
        <v>🟡 Satélite</v>
      </c>
      <c r="F17" s="17">
        <f t="shared" si="0"/>
        <v>0.02</v>
      </c>
      <c r="G17" s="17">
        <f t="shared" si="1"/>
        <v>0.04</v>
      </c>
      <c r="H17" s="17">
        <f t="shared" si="2"/>
        <v>3.0935519940365263E-2</v>
      </c>
      <c r="I17" s="16" t="str">
        <f t="shared" si="3"/>
        <v>✅ OK</v>
      </c>
    </row>
    <row r="18" spans="1:9" x14ac:dyDescent="0.4">
      <c r="A18" s="16">
        <v>10</v>
      </c>
      <c r="B18" s="16" t="s">
        <v>124</v>
      </c>
      <c r="C18" s="16" t="s">
        <v>147</v>
      </c>
      <c r="D18" s="28">
        <f>'Generic Dashboard'!E13</f>
        <v>89</v>
      </c>
      <c r="E18" s="16" t="str">
        <f ca="1">'Generic Dashboard'!I13</f>
        <v>🟢 Core A+</v>
      </c>
      <c r="F18" s="17">
        <f t="shared" si="0"/>
        <v>0.04</v>
      </c>
      <c r="G18" s="17">
        <f t="shared" si="1"/>
        <v>0.06</v>
      </c>
      <c r="H18" s="17">
        <f t="shared" si="2"/>
        <v>0.04</v>
      </c>
      <c r="I18" s="16" t="str">
        <f t="shared" si="3"/>
        <v>✅ OK</v>
      </c>
    </row>
    <row r="19" spans="1:9" x14ac:dyDescent="0.4">
      <c r="A19" s="16">
        <v>11</v>
      </c>
      <c r="B19" s="16" t="s">
        <v>125</v>
      </c>
      <c r="C19" s="16" t="s">
        <v>148</v>
      </c>
      <c r="D19" s="28">
        <f>'Generic Dashboard'!E14</f>
        <v>71</v>
      </c>
      <c r="E19" s="16" t="str">
        <f ca="1">'Generic Dashboard'!I14</f>
        <v>⚪ Opcional</v>
      </c>
      <c r="F19" s="17">
        <f t="shared" si="0"/>
        <v>0</v>
      </c>
      <c r="G19" s="17">
        <f t="shared" si="1"/>
        <v>1.4999999999999999E-2</v>
      </c>
      <c r="H19" s="17">
        <f t="shared" si="2"/>
        <v>1.4999999999999999E-2</v>
      </c>
      <c r="I19" s="16" t="str">
        <f t="shared" si="3"/>
        <v>✅ OK</v>
      </c>
    </row>
    <row r="20" spans="1:9" x14ac:dyDescent="0.4">
      <c r="A20" s="16">
        <v>12</v>
      </c>
      <c r="B20" s="16" t="s">
        <v>126</v>
      </c>
      <c r="C20" s="16" t="s">
        <v>149</v>
      </c>
      <c r="D20" s="28">
        <f>'Generic Dashboard'!E15</f>
        <v>59</v>
      </c>
      <c r="E20" s="16" t="str">
        <f ca="1">'Generic Dashboard'!I15</f>
        <v>🔴 Avoid</v>
      </c>
      <c r="F20" s="17">
        <f t="shared" si="0"/>
        <v>0</v>
      </c>
      <c r="G20" s="17">
        <f t="shared" si="1"/>
        <v>1.4999999999999999E-2</v>
      </c>
      <c r="H20" s="17">
        <f t="shared" si="2"/>
        <v>1.4999999999999999E-2</v>
      </c>
      <c r="I20" s="16" t="str">
        <f t="shared" si="3"/>
        <v>✅ OK</v>
      </c>
    </row>
    <row r="21" spans="1:9" x14ac:dyDescent="0.4">
      <c r="A21" s="16">
        <v>13</v>
      </c>
      <c r="B21" s="16" t="s">
        <v>127</v>
      </c>
      <c r="C21" s="16" t="s">
        <v>150</v>
      </c>
      <c r="D21" s="28">
        <f>'Generic Dashboard'!E16</f>
        <v>77</v>
      </c>
      <c r="E21" s="16" t="str">
        <f ca="1">'Generic Dashboard'!I16</f>
        <v>🔵 Core A</v>
      </c>
      <c r="F21" s="17">
        <f t="shared" si="0"/>
        <v>0.02</v>
      </c>
      <c r="G21" s="17">
        <f t="shared" si="1"/>
        <v>0.04</v>
      </c>
      <c r="H21" s="17">
        <f t="shared" si="2"/>
        <v>2.8699217294073799E-2</v>
      </c>
      <c r="I21" s="16" t="str">
        <f t="shared" si="3"/>
        <v>✅ OK</v>
      </c>
    </row>
    <row r="22" spans="1:9" x14ac:dyDescent="0.4">
      <c r="A22" s="16">
        <v>14</v>
      </c>
      <c r="B22" s="16" t="s">
        <v>128</v>
      </c>
      <c r="C22" s="16" t="s">
        <v>151</v>
      </c>
      <c r="D22" s="28">
        <f>'Generic Dashboard'!E17</f>
        <v>85</v>
      </c>
      <c r="E22" s="16" t="str">
        <f ca="1">'Generic Dashboard'!I17</f>
        <v>🟡 Satélite</v>
      </c>
      <c r="F22" s="17">
        <f t="shared" si="0"/>
        <v>0.04</v>
      </c>
      <c r="G22" s="17">
        <f t="shared" si="1"/>
        <v>0.06</v>
      </c>
      <c r="H22" s="17">
        <f t="shared" si="2"/>
        <v>0.04</v>
      </c>
      <c r="I22" s="16" t="str">
        <f t="shared" si="3"/>
        <v>✅ OK</v>
      </c>
    </row>
    <row r="23" spans="1:9" x14ac:dyDescent="0.4">
      <c r="A23" s="16">
        <v>15</v>
      </c>
      <c r="B23" s="16" t="s">
        <v>129</v>
      </c>
      <c r="C23" s="16" t="s">
        <v>152</v>
      </c>
      <c r="D23" s="28">
        <f>'Generic Dashboard'!E18</f>
        <v>73</v>
      </c>
      <c r="E23" s="16" t="str">
        <f ca="1">'Generic Dashboard'!I18</f>
        <v>🔴 Avoid</v>
      </c>
      <c r="F23" s="17">
        <f t="shared" si="0"/>
        <v>0</v>
      </c>
      <c r="G23" s="17">
        <f t="shared" si="1"/>
        <v>1.4999999999999999E-2</v>
      </c>
      <c r="H23" s="17">
        <f t="shared" si="2"/>
        <v>1.4999999999999999E-2</v>
      </c>
      <c r="I23" s="16" t="str">
        <f t="shared" si="3"/>
        <v>✅ OK</v>
      </c>
    </row>
    <row r="24" spans="1:9" x14ac:dyDescent="0.4">
      <c r="A24">
        <v>16</v>
      </c>
      <c r="B24" t="s">
        <v>188</v>
      </c>
      <c r="C24" t="s">
        <v>198</v>
      </c>
      <c r="D24">
        <f>'Generic Dashboard'!E19</f>
        <v>82</v>
      </c>
      <c r="E24" t="str">
        <f ca="1">'Generic Dashboard'!I19</f>
        <v>🔵 Core A</v>
      </c>
      <c r="F24" s="18">
        <f>IF(D24&gt;=90,0.06,IF(D24&gt;=85,0.04,IF(D24&gt;=75,0.02,0)))</f>
        <v>0.02</v>
      </c>
      <c r="G24" s="18">
        <f>IF(D24&gt;=90,0.08,IF(D24&gt;=85,0.06,IF(D24&gt;=75,0.04,0.015)))</f>
        <v>0.04</v>
      </c>
      <c r="H24" s="18">
        <f t="shared" si="2"/>
        <v>3.0562802832650018E-2</v>
      </c>
      <c r="I24" t="str">
        <f>IF(H24&gt;G24,"🔴 Over",IF(H24&lt;F24,"🔵 Under","✅ OK"))</f>
        <v>✅ OK</v>
      </c>
    </row>
    <row r="25" spans="1:9" x14ac:dyDescent="0.4">
      <c r="A25">
        <v>17</v>
      </c>
      <c r="B25" t="s">
        <v>189</v>
      </c>
      <c r="C25" t="s">
        <v>199</v>
      </c>
      <c r="D25">
        <f>'Generic Dashboard'!E20</f>
        <v>84</v>
      </c>
      <c r="E25" t="str">
        <f ca="1">'Generic Dashboard'!I20</f>
        <v>🟡 Satélite</v>
      </c>
      <c r="F25" s="18">
        <f t="shared" ref="F25:F43" si="4">IF(D25&gt;=90,0.06,IF(D25&gt;=85,0.04,IF(D25&gt;=75,0.02,0)))</f>
        <v>0.02</v>
      </c>
      <c r="G25" s="18">
        <f t="shared" ref="G25:G43" si="5">IF(D25&gt;=90,0.08,IF(D25&gt;=85,0.06,IF(D25&gt;=75,0.04,0.015)))</f>
        <v>0.04</v>
      </c>
      <c r="H25" s="18">
        <f t="shared" ref="H25:H43" si="6">MIN(G25,MAX(F25,D25/SUM($D$9:$D$43)))</f>
        <v>3.1308237048080508E-2</v>
      </c>
      <c r="I25" t="str">
        <f t="shared" ref="I25:I43" si="7">IF(H25&gt;G25,"🔴 Over",IF(H25&lt;F25,"🔵 Under","✅ OK"))</f>
        <v>✅ OK</v>
      </c>
    </row>
    <row r="26" spans="1:9" x14ac:dyDescent="0.4">
      <c r="A26">
        <v>18</v>
      </c>
      <c r="B26" t="s">
        <v>190</v>
      </c>
      <c r="C26" t="s">
        <v>200</v>
      </c>
      <c r="D26">
        <f>'Generic Dashboard'!E21</f>
        <v>86</v>
      </c>
      <c r="E26" t="str">
        <f ca="1">'Generic Dashboard'!I21</f>
        <v>⚪ Opcional</v>
      </c>
      <c r="F26" s="18">
        <f t="shared" si="4"/>
        <v>0.04</v>
      </c>
      <c r="G26" s="18">
        <f t="shared" si="5"/>
        <v>0.06</v>
      </c>
      <c r="H26" s="18">
        <f t="shared" si="6"/>
        <v>0.04</v>
      </c>
      <c r="I26" t="str">
        <f t="shared" si="7"/>
        <v>✅ OK</v>
      </c>
    </row>
    <row r="27" spans="1:9" x14ac:dyDescent="0.4">
      <c r="A27">
        <v>19</v>
      </c>
      <c r="B27" t="s">
        <v>191</v>
      </c>
      <c r="C27" t="s">
        <v>201</v>
      </c>
      <c r="D27">
        <f>'Generic Dashboard'!E22</f>
        <v>70</v>
      </c>
      <c r="E27" t="str">
        <f ca="1">'Generic Dashboard'!I22</f>
        <v>⚪ Opcional</v>
      </c>
      <c r="F27" s="18">
        <f t="shared" si="4"/>
        <v>0</v>
      </c>
      <c r="G27" s="18">
        <f t="shared" si="5"/>
        <v>1.4999999999999999E-2</v>
      </c>
      <c r="H27" s="18">
        <f t="shared" si="6"/>
        <v>1.4999999999999999E-2</v>
      </c>
      <c r="I27" t="str">
        <f t="shared" si="7"/>
        <v>✅ OK</v>
      </c>
    </row>
    <row r="28" spans="1:9" x14ac:dyDescent="0.4">
      <c r="A28">
        <v>20</v>
      </c>
      <c r="B28" t="s">
        <v>192</v>
      </c>
      <c r="C28" t="s">
        <v>202</v>
      </c>
      <c r="D28">
        <f>'Generic Dashboard'!E23</f>
        <v>65</v>
      </c>
      <c r="E28" t="str">
        <f ca="1">'Generic Dashboard'!I23</f>
        <v>🔴 Avoid</v>
      </c>
      <c r="F28" s="18">
        <f t="shared" si="4"/>
        <v>0</v>
      </c>
      <c r="G28" s="18">
        <f t="shared" si="5"/>
        <v>1.4999999999999999E-2</v>
      </c>
      <c r="H28" s="18">
        <f t="shared" si="6"/>
        <v>1.4999999999999999E-2</v>
      </c>
      <c r="I28" t="str">
        <f t="shared" si="7"/>
        <v>✅ OK</v>
      </c>
    </row>
    <row r="29" spans="1:9" x14ac:dyDescent="0.4">
      <c r="A29">
        <v>21</v>
      </c>
      <c r="B29" t="s">
        <v>193</v>
      </c>
      <c r="C29" t="s">
        <v>203</v>
      </c>
      <c r="D29">
        <f>'Generic Dashboard'!E24</f>
        <v>65</v>
      </c>
      <c r="E29" t="str">
        <f ca="1">'Generic Dashboard'!I24</f>
        <v>🟡 Satélite</v>
      </c>
      <c r="F29" s="18">
        <f t="shared" si="4"/>
        <v>0</v>
      </c>
      <c r="G29" s="18">
        <f t="shared" si="5"/>
        <v>1.4999999999999999E-2</v>
      </c>
      <c r="H29" s="18">
        <f t="shared" si="6"/>
        <v>1.4999999999999999E-2</v>
      </c>
      <c r="I29" t="str">
        <f t="shared" si="7"/>
        <v>✅ OK</v>
      </c>
    </row>
    <row r="30" spans="1:9" x14ac:dyDescent="0.4">
      <c r="A30">
        <v>22</v>
      </c>
      <c r="B30" t="s">
        <v>194</v>
      </c>
      <c r="C30" t="s">
        <v>204</v>
      </c>
      <c r="D30">
        <f>'Generic Dashboard'!E25</f>
        <v>68</v>
      </c>
      <c r="E30" t="str">
        <f ca="1">'Generic Dashboard'!I25</f>
        <v>⚪ Opcional</v>
      </c>
      <c r="F30" s="18">
        <f t="shared" si="4"/>
        <v>0</v>
      </c>
      <c r="G30" s="18">
        <f t="shared" si="5"/>
        <v>1.4999999999999999E-2</v>
      </c>
      <c r="H30" s="18">
        <f t="shared" si="6"/>
        <v>1.4999999999999999E-2</v>
      </c>
      <c r="I30" t="str">
        <f t="shared" si="7"/>
        <v>✅ OK</v>
      </c>
    </row>
    <row r="31" spans="1:9" x14ac:dyDescent="0.4">
      <c r="A31">
        <v>23</v>
      </c>
      <c r="B31" t="s">
        <v>195</v>
      </c>
      <c r="C31" t="s">
        <v>205</v>
      </c>
      <c r="D31">
        <f>'Generic Dashboard'!E26</f>
        <v>71</v>
      </c>
      <c r="E31" t="str">
        <f ca="1">'Generic Dashboard'!I26</f>
        <v>⚪ Opcional</v>
      </c>
      <c r="F31" s="18">
        <f t="shared" si="4"/>
        <v>0</v>
      </c>
      <c r="G31" s="18">
        <f t="shared" si="5"/>
        <v>1.4999999999999999E-2</v>
      </c>
      <c r="H31" s="18">
        <f t="shared" si="6"/>
        <v>1.4999999999999999E-2</v>
      </c>
      <c r="I31" t="str">
        <f t="shared" si="7"/>
        <v>✅ OK</v>
      </c>
    </row>
    <row r="32" spans="1:9" x14ac:dyDescent="0.4">
      <c r="A32">
        <v>24</v>
      </c>
      <c r="B32" t="s">
        <v>196</v>
      </c>
      <c r="C32" t="s">
        <v>206</v>
      </c>
      <c r="D32">
        <f>'Generic Dashboard'!E27</f>
        <v>87</v>
      </c>
      <c r="E32" t="str">
        <f ca="1">'Generic Dashboard'!I27</f>
        <v>🔴 Avoid</v>
      </c>
      <c r="F32" s="18">
        <f t="shared" si="4"/>
        <v>0.04</v>
      </c>
      <c r="G32" s="18">
        <f t="shared" si="5"/>
        <v>0.06</v>
      </c>
      <c r="H32" s="18">
        <f t="shared" si="6"/>
        <v>0.04</v>
      </c>
      <c r="I32" t="str">
        <f t="shared" si="7"/>
        <v>✅ OK</v>
      </c>
    </row>
    <row r="33" spans="1:9" x14ac:dyDescent="0.4">
      <c r="A33">
        <v>25</v>
      </c>
      <c r="B33" t="s">
        <v>197</v>
      </c>
      <c r="C33" t="s">
        <v>207</v>
      </c>
      <c r="D33">
        <f>'Generic Dashboard'!E28</f>
        <v>75</v>
      </c>
      <c r="E33" t="str">
        <f>'Generic Dashboard'!I28</f>
        <v>⚪ Opcional</v>
      </c>
      <c r="F33" s="18">
        <f t="shared" si="4"/>
        <v>0.02</v>
      </c>
      <c r="G33" s="18">
        <f t="shared" si="5"/>
        <v>0.04</v>
      </c>
      <c r="H33" s="18">
        <f t="shared" si="6"/>
        <v>2.795378307864331E-2</v>
      </c>
      <c r="I33" t="str">
        <f t="shared" si="7"/>
        <v>✅ OK</v>
      </c>
    </row>
    <row r="34" spans="1:9" x14ac:dyDescent="0.4">
      <c r="A34">
        <v>26</v>
      </c>
      <c r="B34" t="s">
        <v>208</v>
      </c>
      <c r="C34" t="s">
        <v>218</v>
      </c>
      <c r="D34">
        <f>'Generic Dashboard'!E29</f>
        <v>91</v>
      </c>
      <c r="E34" t="str">
        <f ca="1">'Generic Dashboard'!I29</f>
        <v>🟢 Core A+</v>
      </c>
      <c r="F34" s="18">
        <f t="shared" si="4"/>
        <v>0.06</v>
      </c>
      <c r="G34" s="18">
        <f t="shared" si="5"/>
        <v>0.08</v>
      </c>
      <c r="H34" s="18">
        <f t="shared" si="6"/>
        <v>0.06</v>
      </c>
      <c r="I34" t="str">
        <f t="shared" si="7"/>
        <v>✅ OK</v>
      </c>
    </row>
    <row r="35" spans="1:9" x14ac:dyDescent="0.4">
      <c r="A35">
        <v>27</v>
      </c>
      <c r="B35" t="s">
        <v>209</v>
      </c>
      <c r="C35" t="s">
        <v>219</v>
      </c>
      <c r="D35">
        <f>'Generic Dashboard'!E30</f>
        <v>71</v>
      </c>
      <c r="E35" t="str">
        <f ca="1">'Generic Dashboard'!I30</f>
        <v>⚪ Opcional</v>
      </c>
      <c r="F35" s="18">
        <f t="shared" si="4"/>
        <v>0</v>
      </c>
      <c r="G35" s="18">
        <f t="shared" si="5"/>
        <v>1.4999999999999999E-2</v>
      </c>
      <c r="H35" s="18">
        <f t="shared" si="6"/>
        <v>1.4999999999999999E-2</v>
      </c>
      <c r="I35" t="str">
        <f t="shared" si="7"/>
        <v>✅ OK</v>
      </c>
    </row>
    <row r="36" spans="1:9" x14ac:dyDescent="0.4">
      <c r="A36">
        <v>28</v>
      </c>
      <c r="B36" t="s">
        <v>210</v>
      </c>
      <c r="C36" t="s">
        <v>220</v>
      </c>
      <c r="D36">
        <f>'Generic Dashboard'!E31</f>
        <v>58</v>
      </c>
      <c r="E36" t="str">
        <f ca="1">'Generic Dashboard'!I31</f>
        <v>⚪ Opcional</v>
      </c>
      <c r="F36" s="18">
        <f t="shared" si="4"/>
        <v>0</v>
      </c>
      <c r="G36" s="18">
        <f t="shared" si="5"/>
        <v>1.4999999999999999E-2</v>
      </c>
      <c r="H36" s="18">
        <f t="shared" si="6"/>
        <v>1.4999999999999999E-2</v>
      </c>
      <c r="I36" t="str">
        <f t="shared" si="7"/>
        <v>✅ OK</v>
      </c>
    </row>
    <row r="37" spans="1:9" x14ac:dyDescent="0.4">
      <c r="A37">
        <v>29</v>
      </c>
      <c r="B37" t="s">
        <v>211</v>
      </c>
      <c r="C37" t="s">
        <v>221</v>
      </c>
      <c r="D37">
        <f>'Generic Dashboard'!E32</f>
        <v>72</v>
      </c>
      <c r="E37" t="str">
        <f ca="1">'Generic Dashboard'!I32</f>
        <v>⚪ Opcional</v>
      </c>
      <c r="F37" s="18">
        <f t="shared" si="4"/>
        <v>0</v>
      </c>
      <c r="G37" s="18">
        <f t="shared" si="5"/>
        <v>1.4999999999999999E-2</v>
      </c>
      <c r="H37" s="18">
        <f t="shared" si="6"/>
        <v>1.4999999999999999E-2</v>
      </c>
      <c r="I37" t="str">
        <f t="shared" si="7"/>
        <v>✅ OK</v>
      </c>
    </row>
    <row r="38" spans="1:9" x14ac:dyDescent="0.4">
      <c r="A38">
        <v>30</v>
      </c>
      <c r="B38" t="s">
        <v>212</v>
      </c>
      <c r="C38" t="s">
        <v>222</v>
      </c>
      <c r="D38">
        <f>'Generic Dashboard'!E33</f>
        <v>76</v>
      </c>
      <c r="E38" t="str">
        <f ca="1">'Generic Dashboard'!I33</f>
        <v>🔵 Core A</v>
      </c>
      <c r="F38" s="18">
        <f t="shared" si="4"/>
        <v>0.02</v>
      </c>
      <c r="G38" s="18">
        <f t="shared" si="5"/>
        <v>0.04</v>
      </c>
      <c r="H38" s="18">
        <f t="shared" si="6"/>
        <v>2.8326500186358555E-2</v>
      </c>
      <c r="I38" t="str">
        <f t="shared" si="7"/>
        <v>✅ OK</v>
      </c>
    </row>
    <row r="39" spans="1:9" x14ac:dyDescent="0.4">
      <c r="A39">
        <v>31</v>
      </c>
      <c r="B39" t="s">
        <v>213</v>
      </c>
      <c r="C39" t="s">
        <v>223</v>
      </c>
      <c r="D39">
        <f>'Generic Dashboard'!E34</f>
        <v>70</v>
      </c>
      <c r="E39" t="str">
        <f ca="1">'Generic Dashboard'!I34</f>
        <v>🔴 Avoid</v>
      </c>
      <c r="F39" s="18">
        <f t="shared" si="4"/>
        <v>0</v>
      </c>
      <c r="G39" s="18">
        <f t="shared" si="5"/>
        <v>1.4999999999999999E-2</v>
      </c>
      <c r="H39" s="18">
        <f t="shared" si="6"/>
        <v>1.4999999999999999E-2</v>
      </c>
      <c r="I39" t="str">
        <f t="shared" si="7"/>
        <v>✅ OK</v>
      </c>
    </row>
    <row r="40" spans="1:9" x14ac:dyDescent="0.4">
      <c r="A40">
        <v>32</v>
      </c>
      <c r="B40" t="s">
        <v>214</v>
      </c>
      <c r="C40" t="s">
        <v>224</v>
      </c>
      <c r="D40">
        <f>'Generic Dashboard'!E35</f>
        <v>80</v>
      </c>
      <c r="E40" t="str">
        <f ca="1">'Generic Dashboard'!I35</f>
        <v>⚪ Opcional</v>
      </c>
      <c r="F40" s="18">
        <f t="shared" si="4"/>
        <v>0.02</v>
      </c>
      <c r="G40" s="18">
        <f t="shared" si="5"/>
        <v>0.04</v>
      </c>
      <c r="H40" s="18">
        <f t="shared" si="6"/>
        <v>2.9817368617219529E-2</v>
      </c>
      <c r="I40" t="str">
        <f t="shared" si="7"/>
        <v>✅ OK</v>
      </c>
    </row>
    <row r="41" spans="1:9" x14ac:dyDescent="0.4">
      <c r="A41">
        <v>33</v>
      </c>
      <c r="B41" t="s">
        <v>215</v>
      </c>
      <c r="C41" t="s">
        <v>225</v>
      </c>
      <c r="D41">
        <f>'Generic Dashboard'!E36</f>
        <v>77</v>
      </c>
      <c r="E41" t="str">
        <f ca="1">'Generic Dashboard'!I36</f>
        <v>⚪ Opcional</v>
      </c>
      <c r="F41" s="18">
        <f t="shared" si="4"/>
        <v>0.02</v>
      </c>
      <c r="G41" s="18">
        <f t="shared" si="5"/>
        <v>0.04</v>
      </c>
      <c r="H41" s="18">
        <f t="shared" si="6"/>
        <v>2.8699217294073799E-2</v>
      </c>
      <c r="I41" t="str">
        <f t="shared" si="7"/>
        <v>✅ OK</v>
      </c>
    </row>
    <row r="42" spans="1:9" x14ac:dyDescent="0.4">
      <c r="A42">
        <v>34</v>
      </c>
      <c r="B42" t="s">
        <v>216</v>
      </c>
      <c r="C42" t="s">
        <v>226</v>
      </c>
      <c r="D42">
        <f>'Generic Dashboard'!E37</f>
        <v>80</v>
      </c>
      <c r="E42" t="str">
        <f ca="1">'Generic Dashboard'!I37</f>
        <v>⚪ Opcional</v>
      </c>
      <c r="F42" s="18">
        <f t="shared" si="4"/>
        <v>0.02</v>
      </c>
      <c r="G42" s="18">
        <f t="shared" si="5"/>
        <v>0.04</v>
      </c>
      <c r="H42" s="18">
        <f t="shared" si="6"/>
        <v>2.9817368617219529E-2</v>
      </c>
      <c r="I42" t="str">
        <f t="shared" si="7"/>
        <v>✅ OK</v>
      </c>
    </row>
    <row r="43" spans="1:9" x14ac:dyDescent="0.4">
      <c r="A43">
        <v>35</v>
      </c>
      <c r="B43" t="s">
        <v>217</v>
      </c>
      <c r="C43" t="s">
        <v>227</v>
      </c>
      <c r="D43">
        <f>'Generic Dashboard'!E38</f>
        <v>71</v>
      </c>
      <c r="E43" t="str">
        <f ca="1">'Generic Dashboard'!I38</f>
        <v>🔴 Avoid</v>
      </c>
      <c r="F43" s="18">
        <f t="shared" si="4"/>
        <v>0</v>
      </c>
      <c r="G43" s="18">
        <f t="shared" si="5"/>
        <v>1.4999999999999999E-2</v>
      </c>
      <c r="H43" s="18">
        <f t="shared" si="6"/>
        <v>1.4999999999999999E-2</v>
      </c>
      <c r="I43" t="str">
        <f t="shared" si="7"/>
        <v>✅ OK</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2E841-4D0E-4C6F-A6C5-88C0416C73E0}">
  <dimension ref="A1:J38"/>
  <sheetViews>
    <sheetView workbookViewId="0">
      <selection activeCell="E17" sqref="E17"/>
    </sheetView>
  </sheetViews>
  <sheetFormatPr baseColWidth="10" defaultRowHeight="14.6" x14ac:dyDescent="0.4"/>
  <cols>
    <col min="1" max="1" width="26.921875" customWidth="1"/>
    <col min="2" max="3" width="15.23046875" style="37" customWidth="1"/>
    <col min="4" max="10" width="15.23046875" customWidth="1"/>
  </cols>
  <sheetData>
    <row r="1" spans="1:10" ht="18.45" x14ac:dyDescent="0.5">
      <c r="A1" s="26" t="s">
        <v>161</v>
      </c>
    </row>
    <row r="2" spans="1:10" x14ac:dyDescent="0.4">
      <c r="A2" s="27" t="s">
        <v>162</v>
      </c>
    </row>
    <row r="3" spans="1:10" x14ac:dyDescent="0.4">
      <c r="A3" s="21" t="s">
        <v>1</v>
      </c>
      <c r="B3" s="8" t="s">
        <v>163</v>
      </c>
      <c r="C3" s="22" t="s">
        <v>164</v>
      </c>
      <c r="D3" s="21" t="s">
        <v>165</v>
      </c>
      <c r="E3" s="21" t="s">
        <v>166</v>
      </c>
      <c r="F3" s="21" t="s">
        <v>167</v>
      </c>
      <c r="G3" s="21" t="s">
        <v>168</v>
      </c>
      <c r="H3" s="21" t="s">
        <v>169</v>
      </c>
      <c r="I3" s="21" t="s">
        <v>170</v>
      </c>
      <c r="J3" s="21" t="s">
        <v>171</v>
      </c>
    </row>
    <row r="4" spans="1:10" x14ac:dyDescent="0.4">
      <c r="A4" t="s">
        <v>3</v>
      </c>
      <c r="B4" s="28">
        <f>'Generic Dashboard'!E4</f>
        <v>93</v>
      </c>
      <c r="C4" s="28">
        <f t="shared" ref="C4:C18" si="0">B4</f>
        <v>93</v>
      </c>
      <c r="D4" s="28"/>
      <c r="E4" s="28"/>
      <c r="F4" s="28"/>
      <c r="G4" s="28"/>
      <c r="H4" s="28"/>
      <c r="I4" s="28"/>
      <c r="J4" s="28"/>
    </row>
    <row r="5" spans="1:10" x14ac:dyDescent="0.4">
      <c r="A5" t="s">
        <v>117</v>
      </c>
      <c r="B5" s="28">
        <f>'Generic Dashboard'!E5</f>
        <v>78</v>
      </c>
      <c r="C5" s="28">
        <f t="shared" si="0"/>
        <v>78</v>
      </c>
      <c r="D5" s="28"/>
      <c r="E5" s="28"/>
      <c r="F5" s="28"/>
      <c r="G5" s="28"/>
      <c r="H5" s="28"/>
      <c r="I5" s="28"/>
      <c r="J5" s="28"/>
    </row>
    <row r="6" spans="1:10" x14ac:dyDescent="0.4">
      <c r="A6" t="s">
        <v>118</v>
      </c>
      <c r="B6" s="28">
        <f>'Generic Dashboard'!E6</f>
        <v>81</v>
      </c>
      <c r="C6" s="28">
        <f t="shared" si="0"/>
        <v>81</v>
      </c>
      <c r="D6" s="28"/>
      <c r="E6" s="28"/>
      <c r="F6" s="28"/>
      <c r="G6" s="28"/>
      <c r="H6" s="28"/>
      <c r="I6" s="28"/>
      <c r="J6" s="28"/>
    </row>
    <row r="7" spans="1:10" x14ac:dyDescent="0.4">
      <c r="A7" t="s">
        <v>119</v>
      </c>
      <c r="B7" s="28">
        <f>'Generic Dashboard'!E7</f>
        <v>83</v>
      </c>
      <c r="C7" s="28">
        <f t="shared" si="0"/>
        <v>83</v>
      </c>
      <c r="D7" s="28"/>
      <c r="E7" s="28"/>
      <c r="F7" s="28"/>
      <c r="G7" s="28"/>
      <c r="H7" s="28"/>
      <c r="I7" s="28"/>
      <c r="J7" s="28"/>
    </row>
    <row r="8" spans="1:10" x14ac:dyDescent="0.4">
      <c r="A8" t="s">
        <v>92</v>
      </c>
      <c r="B8" s="28">
        <f>'Generic Dashboard'!E8</f>
        <v>64</v>
      </c>
      <c r="C8" s="28">
        <f t="shared" si="0"/>
        <v>64</v>
      </c>
      <c r="D8" s="28"/>
      <c r="E8" s="28"/>
      <c r="F8" s="28"/>
      <c r="G8" s="28"/>
      <c r="H8" s="28"/>
      <c r="I8" s="28"/>
      <c r="J8" s="28"/>
    </row>
    <row r="9" spans="1:10" x14ac:dyDescent="0.4">
      <c r="A9" t="s">
        <v>120</v>
      </c>
      <c r="B9" s="28">
        <f>'Generic Dashboard'!E9</f>
        <v>79</v>
      </c>
      <c r="C9" s="28">
        <f t="shared" si="0"/>
        <v>79</v>
      </c>
      <c r="D9" s="28"/>
      <c r="E9" s="28"/>
      <c r="F9" s="28"/>
      <c r="G9" s="28"/>
      <c r="H9" s="28"/>
      <c r="I9" s="28"/>
      <c r="J9" s="28"/>
    </row>
    <row r="10" spans="1:10" x14ac:dyDescent="0.4">
      <c r="A10" t="s">
        <v>121</v>
      </c>
      <c r="B10" s="28">
        <f>'Generic Dashboard'!E10</f>
        <v>77</v>
      </c>
      <c r="C10" s="28">
        <f t="shared" si="0"/>
        <v>77</v>
      </c>
      <c r="D10" s="28"/>
      <c r="E10" s="28"/>
      <c r="F10" s="28"/>
      <c r="G10" s="28"/>
      <c r="H10" s="28"/>
      <c r="I10" s="28"/>
      <c r="J10" s="28"/>
    </row>
    <row r="11" spans="1:10" x14ac:dyDescent="0.4">
      <c r="A11" t="s">
        <v>122</v>
      </c>
      <c r="B11" s="28">
        <f>'Generic Dashboard'!E11</f>
        <v>92</v>
      </c>
      <c r="C11" s="28">
        <f t="shared" si="0"/>
        <v>92</v>
      </c>
      <c r="D11" s="28"/>
      <c r="E11" s="28"/>
      <c r="F11" s="28"/>
      <c r="G11" s="28"/>
      <c r="H11" s="28"/>
      <c r="I11" s="28"/>
      <c r="J11" s="28"/>
    </row>
    <row r="12" spans="1:10" x14ac:dyDescent="0.4">
      <c r="A12" t="s">
        <v>123</v>
      </c>
      <c r="B12" s="28">
        <f>'Generic Dashboard'!E12</f>
        <v>83</v>
      </c>
      <c r="C12" s="28">
        <f t="shared" si="0"/>
        <v>83</v>
      </c>
      <c r="D12" s="28"/>
      <c r="E12" s="28"/>
      <c r="F12" s="28"/>
      <c r="G12" s="28"/>
      <c r="H12" s="28"/>
      <c r="I12" s="28"/>
      <c r="J12" s="28"/>
    </row>
    <row r="13" spans="1:10" x14ac:dyDescent="0.4">
      <c r="A13" t="s">
        <v>124</v>
      </c>
      <c r="B13" s="28">
        <f>'Generic Dashboard'!E13</f>
        <v>89</v>
      </c>
      <c r="C13" s="28">
        <f t="shared" si="0"/>
        <v>89</v>
      </c>
      <c r="D13" s="28"/>
      <c r="E13" s="28"/>
      <c r="F13" s="28"/>
      <c r="G13" s="28"/>
      <c r="H13" s="28"/>
      <c r="I13" s="28"/>
      <c r="J13" s="28"/>
    </row>
    <row r="14" spans="1:10" x14ac:dyDescent="0.4">
      <c r="A14" t="s">
        <v>125</v>
      </c>
      <c r="B14" s="28">
        <f>'Generic Dashboard'!E14</f>
        <v>71</v>
      </c>
      <c r="C14" s="28">
        <f t="shared" si="0"/>
        <v>71</v>
      </c>
      <c r="D14" s="28"/>
      <c r="E14" s="28"/>
      <c r="F14" s="28"/>
      <c r="G14" s="28"/>
      <c r="H14" s="28"/>
      <c r="I14" s="28"/>
      <c r="J14" s="28"/>
    </row>
    <row r="15" spans="1:10" x14ac:dyDescent="0.4">
      <c r="A15" t="s">
        <v>126</v>
      </c>
      <c r="B15" s="28">
        <f>'Generic Dashboard'!E15</f>
        <v>59</v>
      </c>
      <c r="C15" s="28">
        <f t="shared" si="0"/>
        <v>59</v>
      </c>
      <c r="D15" s="28"/>
      <c r="E15" s="28"/>
      <c r="F15" s="28"/>
      <c r="G15" s="28"/>
      <c r="H15" s="28"/>
      <c r="I15" s="28"/>
      <c r="J15" s="28"/>
    </row>
    <row r="16" spans="1:10" x14ac:dyDescent="0.4">
      <c r="A16" t="s">
        <v>127</v>
      </c>
      <c r="B16" s="28">
        <f>'Generic Dashboard'!E16</f>
        <v>77</v>
      </c>
      <c r="C16" s="28">
        <f t="shared" si="0"/>
        <v>77</v>
      </c>
      <c r="D16" s="28"/>
      <c r="E16" s="28"/>
      <c r="F16" s="28"/>
      <c r="G16" s="28"/>
      <c r="H16" s="28"/>
      <c r="I16" s="28"/>
      <c r="J16" s="28"/>
    </row>
    <row r="17" spans="1:10" x14ac:dyDescent="0.4">
      <c r="A17" t="s">
        <v>128</v>
      </c>
      <c r="B17" s="28">
        <f>'Generic Dashboard'!E17</f>
        <v>85</v>
      </c>
      <c r="C17" s="28">
        <f t="shared" si="0"/>
        <v>85</v>
      </c>
      <c r="D17" s="28"/>
      <c r="E17" s="28"/>
      <c r="F17" s="28"/>
      <c r="G17" s="28"/>
      <c r="H17" s="28"/>
      <c r="I17" s="28"/>
      <c r="J17" s="28"/>
    </row>
    <row r="18" spans="1:10" x14ac:dyDescent="0.4">
      <c r="A18" t="s">
        <v>129</v>
      </c>
      <c r="B18" s="28">
        <f>'Generic Dashboard'!E18</f>
        <v>73</v>
      </c>
      <c r="C18" s="28">
        <f t="shared" si="0"/>
        <v>73</v>
      </c>
      <c r="D18" s="28"/>
      <c r="E18" s="28"/>
      <c r="F18" s="28"/>
      <c r="G18" s="28"/>
      <c r="H18" s="28"/>
      <c r="I18" s="28"/>
      <c r="J18" s="28"/>
    </row>
    <row r="19" spans="1:10" x14ac:dyDescent="0.4">
      <c r="A19" t="s">
        <v>188</v>
      </c>
      <c r="B19" s="37">
        <f>'Generic Dashboard'!E19</f>
        <v>82</v>
      </c>
      <c r="C19" s="37">
        <f t="shared" ref="C19:C38" si="1">B19</f>
        <v>82</v>
      </c>
    </row>
    <row r="20" spans="1:10" x14ac:dyDescent="0.4">
      <c r="A20" t="s">
        <v>189</v>
      </c>
      <c r="B20" s="37">
        <f>'Generic Dashboard'!E20</f>
        <v>84</v>
      </c>
      <c r="C20" s="37">
        <f t="shared" si="1"/>
        <v>84</v>
      </c>
    </row>
    <row r="21" spans="1:10" x14ac:dyDescent="0.4">
      <c r="A21" t="s">
        <v>190</v>
      </c>
      <c r="B21" s="37">
        <f>'Generic Dashboard'!E21</f>
        <v>86</v>
      </c>
      <c r="C21" s="37">
        <f t="shared" si="1"/>
        <v>86</v>
      </c>
    </row>
    <row r="22" spans="1:10" x14ac:dyDescent="0.4">
      <c r="A22" t="s">
        <v>191</v>
      </c>
      <c r="B22" s="37">
        <f>'Generic Dashboard'!E22</f>
        <v>70</v>
      </c>
      <c r="C22" s="37">
        <f t="shared" si="1"/>
        <v>70</v>
      </c>
    </row>
    <row r="23" spans="1:10" x14ac:dyDescent="0.4">
      <c r="A23" t="s">
        <v>192</v>
      </c>
      <c r="B23" s="37">
        <f>'Generic Dashboard'!E23</f>
        <v>65</v>
      </c>
      <c r="C23" s="37">
        <f t="shared" si="1"/>
        <v>65</v>
      </c>
    </row>
    <row r="24" spans="1:10" x14ac:dyDescent="0.4">
      <c r="A24" t="s">
        <v>193</v>
      </c>
      <c r="B24" s="37">
        <f>'Generic Dashboard'!E24</f>
        <v>65</v>
      </c>
      <c r="C24" s="37">
        <f t="shared" si="1"/>
        <v>65</v>
      </c>
    </row>
    <row r="25" spans="1:10" x14ac:dyDescent="0.4">
      <c r="A25" t="s">
        <v>194</v>
      </c>
      <c r="B25" s="37">
        <f>'Generic Dashboard'!E25</f>
        <v>68</v>
      </c>
      <c r="C25" s="37">
        <f t="shared" si="1"/>
        <v>68</v>
      </c>
    </row>
    <row r="26" spans="1:10" x14ac:dyDescent="0.4">
      <c r="A26" t="s">
        <v>195</v>
      </c>
      <c r="B26" s="37">
        <f>'Generic Dashboard'!E26</f>
        <v>71</v>
      </c>
      <c r="C26" s="37">
        <f t="shared" si="1"/>
        <v>71</v>
      </c>
    </row>
    <row r="27" spans="1:10" x14ac:dyDescent="0.4">
      <c r="A27" t="s">
        <v>196</v>
      </c>
      <c r="B27" s="37">
        <f>'Generic Dashboard'!E27</f>
        <v>87</v>
      </c>
      <c r="C27" s="37">
        <f t="shared" si="1"/>
        <v>87</v>
      </c>
    </row>
    <row r="28" spans="1:10" x14ac:dyDescent="0.4">
      <c r="A28" t="s">
        <v>197</v>
      </c>
      <c r="B28" s="37">
        <f>'Generic Dashboard'!E28</f>
        <v>75</v>
      </c>
      <c r="C28" s="37">
        <f t="shared" si="1"/>
        <v>75</v>
      </c>
    </row>
    <row r="29" spans="1:10" x14ac:dyDescent="0.4">
      <c r="A29" t="s">
        <v>208</v>
      </c>
      <c r="B29" s="37">
        <f>'Generic Dashboard'!E29</f>
        <v>91</v>
      </c>
      <c r="C29" s="37">
        <f t="shared" si="1"/>
        <v>91</v>
      </c>
    </row>
    <row r="30" spans="1:10" x14ac:dyDescent="0.4">
      <c r="A30" t="s">
        <v>209</v>
      </c>
      <c r="B30" s="37">
        <f>'Generic Dashboard'!E30</f>
        <v>71</v>
      </c>
      <c r="C30" s="37">
        <f t="shared" si="1"/>
        <v>71</v>
      </c>
    </row>
    <row r="31" spans="1:10" x14ac:dyDescent="0.4">
      <c r="A31" t="s">
        <v>210</v>
      </c>
      <c r="B31" s="37">
        <f>'Generic Dashboard'!E31</f>
        <v>58</v>
      </c>
      <c r="C31" s="37">
        <f t="shared" si="1"/>
        <v>58</v>
      </c>
    </row>
    <row r="32" spans="1:10" x14ac:dyDescent="0.4">
      <c r="A32" t="s">
        <v>211</v>
      </c>
      <c r="B32" s="37">
        <f>'Generic Dashboard'!E32</f>
        <v>72</v>
      </c>
      <c r="C32" s="37">
        <f t="shared" si="1"/>
        <v>72</v>
      </c>
    </row>
    <row r="33" spans="1:3" x14ac:dyDescent="0.4">
      <c r="A33" t="s">
        <v>212</v>
      </c>
      <c r="B33" s="37">
        <f>'Generic Dashboard'!E33</f>
        <v>76</v>
      </c>
      <c r="C33" s="37">
        <f t="shared" si="1"/>
        <v>76</v>
      </c>
    </row>
    <row r="34" spans="1:3" x14ac:dyDescent="0.4">
      <c r="A34" t="s">
        <v>213</v>
      </c>
      <c r="B34" s="37">
        <f>'Generic Dashboard'!E34</f>
        <v>70</v>
      </c>
      <c r="C34" s="37">
        <f t="shared" si="1"/>
        <v>70</v>
      </c>
    </row>
    <row r="35" spans="1:3" x14ac:dyDescent="0.4">
      <c r="A35" t="s">
        <v>214</v>
      </c>
      <c r="B35" s="37">
        <f>'Generic Dashboard'!E35</f>
        <v>80</v>
      </c>
      <c r="C35" s="37">
        <f t="shared" si="1"/>
        <v>80</v>
      </c>
    </row>
    <row r="36" spans="1:3" x14ac:dyDescent="0.4">
      <c r="A36" t="s">
        <v>215</v>
      </c>
      <c r="B36" s="37">
        <f>'Generic Dashboard'!E36</f>
        <v>77</v>
      </c>
      <c r="C36" s="37">
        <f t="shared" si="1"/>
        <v>77</v>
      </c>
    </row>
    <row r="37" spans="1:3" x14ac:dyDescent="0.4">
      <c r="A37" t="s">
        <v>216</v>
      </c>
      <c r="B37" s="37">
        <f>'Generic Dashboard'!E37</f>
        <v>80</v>
      </c>
      <c r="C37" s="37">
        <f t="shared" si="1"/>
        <v>80</v>
      </c>
    </row>
    <row r="38" spans="1:3" x14ac:dyDescent="0.4">
      <c r="A38" t="s">
        <v>217</v>
      </c>
      <c r="B38" s="37">
        <f>'Generic Dashboard'!E38</f>
        <v>71</v>
      </c>
      <c r="C38" s="37">
        <f t="shared" si="1"/>
        <v>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FE7AF-2129-4381-BCB4-9E8C787FD26C}">
  <sheetPr>
    <tabColor rgb="FF4472C4"/>
  </sheetPr>
  <dimension ref="A1:M270"/>
  <sheetViews>
    <sheetView workbookViewId="0">
      <pane ySplit="2" topLeftCell="A129" activePane="bottomLeft" state="frozen"/>
      <selection pane="bottomLeft"/>
    </sheetView>
  </sheetViews>
  <sheetFormatPr baseColWidth="10" defaultRowHeight="14.6" x14ac:dyDescent="0.4"/>
  <cols>
    <col min="1" max="1" width="93.4609375" bestFit="1" customWidth="1"/>
  </cols>
  <sheetData>
    <row r="1" spans="1:8" ht="18.45" x14ac:dyDescent="0.5">
      <c r="A1" s="2" t="s">
        <v>37</v>
      </c>
    </row>
    <row r="2" spans="1:8" x14ac:dyDescent="0.4">
      <c r="A2" s="3" t="s">
        <v>38</v>
      </c>
    </row>
    <row r="4" spans="1:8" x14ac:dyDescent="0.4">
      <c r="A4" s="4" t="s">
        <v>39</v>
      </c>
    </row>
    <row r="5" spans="1:8" x14ac:dyDescent="0.4">
      <c r="A5" s="5" t="s">
        <v>40</v>
      </c>
      <c r="B5" s="5" t="s">
        <v>5</v>
      </c>
      <c r="C5" s="5" t="s">
        <v>6</v>
      </c>
      <c r="D5" s="5" t="s">
        <v>7</v>
      </c>
      <c r="E5" s="5" t="s">
        <v>41</v>
      </c>
      <c r="F5" s="5" t="s">
        <v>42</v>
      </c>
      <c r="G5" s="5" t="s">
        <v>43</v>
      </c>
      <c r="H5" s="5" t="s">
        <v>94</v>
      </c>
    </row>
    <row r="6" spans="1:8" x14ac:dyDescent="0.4">
      <c r="A6" t="s">
        <v>44</v>
      </c>
      <c r="B6" s="1">
        <v>0.25</v>
      </c>
      <c r="C6" s="1">
        <v>0.2</v>
      </c>
      <c r="D6" s="1">
        <v>0.15</v>
      </c>
      <c r="E6" s="1">
        <v>0.15</v>
      </c>
      <c r="F6" s="1">
        <v>0.15</v>
      </c>
      <c r="G6" s="1">
        <v>0.1</v>
      </c>
      <c r="H6" s="1">
        <f t="shared" ref="H6:H16" si="0">SUM(B6:G6)</f>
        <v>1</v>
      </c>
    </row>
    <row r="7" spans="1:8" x14ac:dyDescent="0.4">
      <c r="A7" t="s">
        <v>45</v>
      </c>
      <c r="B7" s="1">
        <v>0.25</v>
      </c>
      <c r="C7" s="1">
        <v>0.2</v>
      </c>
      <c r="D7" s="1">
        <v>0.2</v>
      </c>
      <c r="E7" s="1">
        <v>0.15</v>
      </c>
      <c r="F7" s="1">
        <v>0.1</v>
      </c>
      <c r="G7" s="1">
        <v>0.1</v>
      </c>
      <c r="H7" s="1">
        <f t="shared" si="0"/>
        <v>1</v>
      </c>
    </row>
    <row r="8" spans="1:8" x14ac:dyDescent="0.4">
      <c r="A8" t="s">
        <v>46</v>
      </c>
      <c r="B8" s="1">
        <v>0.25</v>
      </c>
      <c r="C8" s="1">
        <v>0.15</v>
      </c>
      <c r="D8" s="1">
        <v>0.25</v>
      </c>
      <c r="E8" s="1">
        <v>0.1</v>
      </c>
      <c r="F8" s="1">
        <v>0.15</v>
      </c>
      <c r="G8" s="1">
        <v>0.1</v>
      </c>
      <c r="H8" s="1">
        <f t="shared" si="0"/>
        <v>1</v>
      </c>
    </row>
    <row r="9" spans="1:8" x14ac:dyDescent="0.4">
      <c r="A9" t="s">
        <v>47</v>
      </c>
      <c r="B9" s="1">
        <v>0.25</v>
      </c>
      <c r="C9" s="1">
        <v>0.2</v>
      </c>
      <c r="D9" s="1">
        <v>0.15</v>
      </c>
      <c r="E9" s="1">
        <v>0.15</v>
      </c>
      <c r="F9" s="1">
        <v>0.15</v>
      </c>
      <c r="G9" s="1">
        <v>0.1</v>
      </c>
      <c r="H9" s="1">
        <f t="shared" si="0"/>
        <v>1</v>
      </c>
    </row>
    <row r="10" spans="1:8" x14ac:dyDescent="0.4">
      <c r="A10" t="s">
        <v>48</v>
      </c>
      <c r="B10" s="1">
        <v>0.25</v>
      </c>
      <c r="C10" s="1">
        <v>0.2</v>
      </c>
      <c r="D10" s="1">
        <v>0.15</v>
      </c>
      <c r="E10" s="1">
        <v>0.15</v>
      </c>
      <c r="F10" s="1">
        <v>0.15</v>
      </c>
      <c r="G10" s="1">
        <v>0.1</v>
      </c>
      <c r="H10" s="1">
        <f t="shared" si="0"/>
        <v>1</v>
      </c>
    </row>
    <row r="11" spans="1:8" x14ac:dyDescent="0.4">
      <c r="A11" t="s">
        <v>0</v>
      </c>
      <c r="B11" s="1">
        <v>0.2</v>
      </c>
      <c r="C11" s="1">
        <v>0.15</v>
      </c>
      <c r="D11" s="1">
        <v>0.25</v>
      </c>
      <c r="E11" s="1">
        <v>0.15</v>
      </c>
      <c r="F11" s="1">
        <v>0.15</v>
      </c>
      <c r="G11" s="1">
        <v>0.1</v>
      </c>
      <c r="H11" s="1">
        <f t="shared" si="0"/>
        <v>1</v>
      </c>
    </row>
    <row r="12" spans="1:8" x14ac:dyDescent="0.4">
      <c r="A12" t="s">
        <v>49</v>
      </c>
      <c r="B12" s="1">
        <v>0.2</v>
      </c>
      <c r="C12" s="1">
        <v>0.1</v>
      </c>
      <c r="D12" s="1">
        <v>0.2</v>
      </c>
      <c r="E12" s="1">
        <v>0.15</v>
      </c>
      <c r="F12" s="1">
        <v>0.15</v>
      </c>
      <c r="G12" s="1">
        <v>0.2</v>
      </c>
      <c r="H12" s="1">
        <f t="shared" si="0"/>
        <v>1</v>
      </c>
    </row>
    <row r="13" spans="1:8" x14ac:dyDescent="0.4">
      <c r="A13" t="s">
        <v>50</v>
      </c>
      <c r="B13" s="1">
        <v>0.2</v>
      </c>
      <c r="C13" s="1">
        <v>0.15</v>
      </c>
      <c r="D13" s="1">
        <v>0.25</v>
      </c>
      <c r="E13" s="1">
        <v>0.15</v>
      </c>
      <c r="F13" s="1">
        <v>0.1</v>
      </c>
      <c r="G13" s="1">
        <v>0.15</v>
      </c>
      <c r="H13" s="1">
        <f t="shared" si="0"/>
        <v>1</v>
      </c>
    </row>
    <row r="14" spans="1:8" x14ac:dyDescent="0.4">
      <c r="A14" t="s">
        <v>51</v>
      </c>
      <c r="B14" s="1">
        <v>0.2</v>
      </c>
      <c r="C14" s="1">
        <v>0.15</v>
      </c>
      <c r="D14" s="1">
        <v>0.25</v>
      </c>
      <c r="E14" s="1">
        <v>0.15</v>
      </c>
      <c r="F14" s="1">
        <v>0.1</v>
      </c>
      <c r="G14" s="1">
        <v>0.15</v>
      </c>
      <c r="H14" s="1">
        <f t="shared" si="0"/>
        <v>1</v>
      </c>
    </row>
    <row r="15" spans="1:8" x14ac:dyDescent="0.4">
      <c r="A15" t="s">
        <v>52</v>
      </c>
      <c r="B15" s="1">
        <v>0.15</v>
      </c>
      <c r="C15" s="1">
        <v>0.1</v>
      </c>
      <c r="D15" s="1">
        <v>0.3</v>
      </c>
      <c r="E15" s="1">
        <v>0.15</v>
      </c>
      <c r="F15" s="1">
        <v>0.1</v>
      </c>
      <c r="G15" s="1">
        <v>0.2</v>
      </c>
      <c r="H15" s="1">
        <f t="shared" si="0"/>
        <v>1</v>
      </c>
    </row>
    <row r="16" spans="1:8" x14ac:dyDescent="0.4">
      <c r="A16" t="s">
        <v>53</v>
      </c>
      <c r="B16" s="1">
        <v>0.15</v>
      </c>
      <c r="C16" s="1">
        <v>0.1</v>
      </c>
      <c r="D16" s="1">
        <v>0.3</v>
      </c>
      <c r="E16" s="1">
        <v>0.15</v>
      </c>
      <c r="F16" s="1">
        <v>0.1</v>
      </c>
      <c r="G16" s="1">
        <v>0.2</v>
      </c>
      <c r="H16" s="1">
        <f t="shared" si="0"/>
        <v>1</v>
      </c>
    </row>
    <row r="20" spans="1:13" x14ac:dyDescent="0.4">
      <c r="A20" t="s">
        <v>54</v>
      </c>
    </row>
    <row r="21" spans="1:13" x14ac:dyDescent="0.4">
      <c r="A21" t="s">
        <v>40</v>
      </c>
      <c r="B21" t="s">
        <v>8</v>
      </c>
      <c r="C21" t="s">
        <v>9</v>
      </c>
      <c r="D21" t="s">
        <v>10</v>
      </c>
      <c r="E21" t="s">
        <v>11</v>
      </c>
      <c r="F21" t="s">
        <v>12</v>
      </c>
      <c r="G21" t="s">
        <v>13</v>
      </c>
      <c r="H21" t="s">
        <v>14</v>
      </c>
      <c r="I21" t="s">
        <v>15</v>
      </c>
      <c r="J21" t="s">
        <v>16</v>
      </c>
      <c r="K21" t="s">
        <v>17</v>
      </c>
      <c r="L21" t="s">
        <v>18</v>
      </c>
      <c r="M21" t="s">
        <v>19</v>
      </c>
    </row>
    <row r="22" spans="1:13" x14ac:dyDescent="0.4">
      <c r="A22" t="s">
        <v>44</v>
      </c>
      <c r="B22">
        <v>0.3</v>
      </c>
      <c r="C22">
        <v>100</v>
      </c>
      <c r="D22">
        <v>0.22</v>
      </c>
      <c r="E22">
        <v>88</v>
      </c>
      <c r="F22">
        <v>0.15</v>
      </c>
      <c r="G22">
        <v>72</v>
      </c>
      <c r="H22">
        <v>0.1</v>
      </c>
      <c r="I22">
        <v>55</v>
      </c>
      <c r="J22">
        <v>0.05</v>
      </c>
      <c r="K22">
        <v>35</v>
      </c>
      <c r="L22">
        <v>0.02</v>
      </c>
      <c r="M22">
        <v>18</v>
      </c>
    </row>
    <row r="23" spans="1:13" x14ac:dyDescent="0.4">
      <c r="A23" t="s">
        <v>45</v>
      </c>
      <c r="B23">
        <v>0.25</v>
      </c>
      <c r="C23">
        <v>100</v>
      </c>
      <c r="D23">
        <v>0.2</v>
      </c>
      <c r="E23">
        <v>88</v>
      </c>
      <c r="F23">
        <v>0.15</v>
      </c>
      <c r="G23">
        <v>72</v>
      </c>
      <c r="H23">
        <v>0.1</v>
      </c>
      <c r="I23">
        <v>55</v>
      </c>
      <c r="J23">
        <v>0.05</v>
      </c>
      <c r="K23">
        <v>35</v>
      </c>
      <c r="L23">
        <v>0.02</v>
      </c>
      <c r="M23">
        <v>18</v>
      </c>
    </row>
    <row r="24" spans="1:13" x14ac:dyDescent="0.4">
      <c r="A24" t="s">
        <v>46</v>
      </c>
      <c r="B24">
        <v>0.18</v>
      </c>
      <c r="C24">
        <v>100</v>
      </c>
      <c r="D24">
        <v>0.14000000000000001</v>
      </c>
      <c r="E24">
        <v>88</v>
      </c>
      <c r="F24">
        <v>0.1</v>
      </c>
      <c r="G24">
        <v>72</v>
      </c>
      <c r="H24">
        <v>0.08</v>
      </c>
      <c r="I24">
        <v>55</v>
      </c>
      <c r="J24">
        <v>0.05</v>
      </c>
      <c r="K24">
        <v>35</v>
      </c>
      <c r="L24">
        <v>0.02</v>
      </c>
      <c r="M24">
        <v>18</v>
      </c>
    </row>
    <row r="25" spans="1:13" x14ac:dyDescent="0.4">
      <c r="A25" t="s">
        <v>47</v>
      </c>
      <c r="B25">
        <v>0.25</v>
      </c>
      <c r="C25">
        <v>100</v>
      </c>
      <c r="D25">
        <v>0.18</v>
      </c>
      <c r="E25">
        <v>88</v>
      </c>
      <c r="F25">
        <v>0.12</v>
      </c>
      <c r="G25">
        <v>72</v>
      </c>
      <c r="H25">
        <v>0.08</v>
      </c>
      <c r="I25">
        <v>55</v>
      </c>
      <c r="J25">
        <v>0.04</v>
      </c>
      <c r="K25">
        <v>35</v>
      </c>
      <c r="L25">
        <v>0.01</v>
      </c>
      <c r="M25">
        <v>18</v>
      </c>
    </row>
    <row r="26" spans="1:13" x14ac:dyDescent="0.4">
      <c r="A26" t="s">
        <v>48</v>
      </c>
      <c r="B26">
        <v>0.25</v>
      </c>
      <c r="C26">
        <v>100</v>
      </c>
      <c r="D26">
        <v>0.18</v>
      </c>
      <c r="E26">
        <v>88</v>
      </c>
      <c r="F26">
        <v>0.12</v>
      </c>
      <c r="G26">
        <v>72</v>
      </c>
      <c r="H26">
        <v>0.08</v>
      </c>
      <c r="I26">
        <v>55</v>
      </c>
      <c r="J26">
        <v>0.04</v>
      </c>
      <c r="K26">
        <v>35</v>
      </c>
      <c r="L26">
        <v>0.01</v>
      </c>
      <c r="M26">
        <v>18</v>
      </c>
    </row>
    <row r="27" spans="1:13" x14ac:dyDescent="0.4">
      <c r="A27" t="s">
        <v>0</v>
      </c>
      <c r="B27">
        <v>0.22</v>
      </c>
      <c r="C27">
        <v>100</v>
      </c>
      <c r="D27">
        <v>0.16</v>
      </c>
      <c r="E27">
        <v>88</v>
      </c>
      <c r="F27">
        <v>0.12</v>
      </c>
      <c r="G27">
        <v>72</v>
      </c>
      <c r="H27">
        <v>0.08</v>
      </c>
      <c r="I27">
        <v>55</v>
      </c>
      <c r="J27">
        <v>0.04</v>
      </c>
      <c r="K27">
        <v>35</v>
      </c>
      <c r="L27">
        <v>0.01</v>
      </c>
      <c r="M27">
        <v>18</v>
      </c>
    </row>
    <row r="28" spans="1:13" x14ac:dyDescent="0.4">
      <c r="A28" t="s">
        <v>49</v>
      </c>
      <c r="B28">
        <v>0.2</v>
      </c>
      <c r="C28">
        <v>100</v>
      </c>
      <c r="D28">
        <v>0.15</v>
      </c>
      <c r="E28">
        <v>88</v>
      </c>
      <c r="F28">
        <v>0.1</v>
      </c>
      <c r="G28">
        <v>72</v>
      </c>
      <c r="H28">
        <v>7.0000000000000007E-2</v>
      </c>
      <c r="I28">
        <v>55</v>
      </c>
      <c r="J28">
        <v>0.04</v>
      </c>
      <c r="K28">
        <v>35</v>
      </c>
      <c r="L28">
        <v>0.01</v>
      </c>
      <c r="M28">
        <v>18</v>
      </c>
    </row>
    <row r="29" spans="1:13" x14ac:dyDescent="0.4">
      <c r="A29" t="s">
        <v>50</v>
      </c>
      <c r="B29">
        <v>0.2</v>
      </c>
      <c r="C29">
        <v>100</v>
      </c>
      <c r="D29">
        <v>0.15</v>
      </c>
      <c r="E29">
        <v>85</v>
      </c>
      <c r="F29">
        <v>0.1</v>
      </c>
      <c r="G29">
        <v>68</v>
      </c>
      <c r="H29">
        <v>0.06</v>
      </c>
      <c r="I29">
        <v>50</v>
      </c>
      <c r="J29">
        <v>0.03</v>
      </c>
      <c r="K29">
        <v>30</v>
      </c>
      <c r="L29">
        <v>0.01</v>
      </c>
      <c r="M29">
        <v>15</v>
      </c>
    </row>
    <row r="30" spans="1:13" x14ac:dyDescent="0.4">
      <c r="A30" t="s">
        <v>51</v>
      </c>
      <c r="B30">
        <v>0.18</v>
      </c>
      <c r="C30">
        <v>100</v>
      </c>
      <c r="D30">
        <v>0.13</v>
      </c>
      <c r="E30">
        <v>85</v>
      </c>
      <c r="F30">
        <v>0.09</v>
      </c>
      <c r="G30">
        <v>68</v>
      </c>
      <c r="H30">
        <v>0.06</v>
      </c>
      <c r="I30">
        <v>50</v>
      </c>
      <c r="J30">
        <v>0.03</v>
      </c>
      <c r="K30">
        <v>30</v>
      </c>
      <c r="L30">
        <v>0.01</v>
      </c>
      <c r="M30">
        <v>15</v>
      </c>
    </row>
    <row r="31" spans="1:13" x14ac:dyDescent="0.4">
      <c r="A31" t="s">
        <v>52</v>
      </c>
      <c r="B31">
        <v>0.12</v>
      </c>
      <c r="C31">
        <v>100</v>
      </c>
      <c r="D31">
        <v>0.1</v>
      </c>
      <c r="E31">
        <v>85</v>
      </c>
      <c r="F31">
        <v>0.08</v>
      </c>
      <c r="G31">
        <v>68</v>
      </c>
      <c r="H31">
        <v>0.06</v>
      </c>
      <c r="I31">
        <v>50</v>
      </c>
      <c r="J31">
        <v>0.04</v>
      </c>
      <c r="K31">
        <v>32</v>
      </c>
      <c r="L31">
        <v>0.02</v>
      </c>
      <c r="M31">
        <v>15</v>
      </c>
    </row>
    <row r="32" spans="1:13" x14ac:dyDescent="0.4">
      <c r="A32" t="s">
        <v>53</v>
      </c>
      <c r="B32">
        <v>0.12</v>
      </c>
      <c r="C32">
        <v>100</v>
      </c>
      <c r="D32">
        <v>0.1</v>
      </c>
      <c r="E32">
        <v>85</v>
      </c>
      <c r="F32">
        <v>0.08</v>
      </c>
      <c r="G32">
        <v>68</v>
      </c>
      <c r="H32">
        <v>0.05</v>
      </c>
      <c r="I32">
        <v>50</v>
      </c>
      <c r="J32">
        <v>0.03</v>
      </c>
      <c r="K32">
        <v>32</v>
      </c>
      <c r="L32">
        <v>0.01</v>
      </c>
      <c r="M32">
        <v>15</v>
      </c>
    </row>
    <row r="34" spans="1:13" x14ac:dyDescent="0.4">
      <c r="A34" t="s">
        <v>55</v>
      </c>
    </row>
    <row r="35" spans="1:13" x14ac:dyDescent="0.4">
      <c r="A35" t="s">
        <v>40</v>
      </c>
      <c r="B35" t="s">
        <v>8</v>
      </c>
      <c r="C35" t="s">
        <v>9</v>
      </c>
      <c r="D35" t="s">
        <v>10</v>
      </c>
      <c r="E35" t="s">
        <v>11</v>
      </c>
      <c r="F35" t="s">
        <v>12</v>
      </c>
      <c r="G35" t="s">
        <v>13</v>
      </c>
      <c r="H35" t="s">
        <v>14</v>
      </c>
      <c r="I35" t="s">
        <v>15</v>
      </c>
      <c r="J35" t="s">
        <v>16</v>
      </c>
      <c r="K35" t="s">
        <v>17</v>
      </c>
      <c r="L35" t="s">
        <v>18</v>
      </c>
      <c r="M35" t="s">
        <v>19</v>
      </c>
    </row>
    <row r="36" spans="1:13" x14ac:dyDescent="0.4">
      <c r="A36" t="s">
        <v>44</v>
      </c>
      <c r="B36">
        <v>0.3</v>
      </c>
      <c r="C36">
        <v>100</v>
      </c>
      <c r="D36">
        <v>0.22</v>
      </c>
      <c r="E36">
        <v>88</v>
      </c>
      <c r="F36">
        <v>0.15</v>
      </c>
      <c r="G36">
        <v>72</v>
      </c>
      <c r="H36">
        <v>0.1</v>
      </c>
      <c r="I36">
        <v>55</v>
      </c>
      <c r="J36">
        <v>0.06</v>
      </c>
      <c r="K36">
        <v>35</v>
      </c>
      <c r="L36">
        <v>0.03</v>
      </c>
      <c r="M36">
        <v>18</v>
      </c>
    </row>
    <row r="37" spans="1:13" x14ac:dyDescent="0.4">
      <c r="A37" t="s">
        <v>45</v>
      </c>
      <c r="B37">
        <v>0.25</v>
      </c>
      <c r="C37">
        <v>100</v>
      </c>
      <c r="D37">
        <v>0.18</v>
      </c>
      <c r="E37">
        <v>88</v>
      </c>
      <c r="F37">
        <v>0.12</v>
      </c>
      <c r="G37">
        <v>72</v>
      </c>
      <c r="H37">
        <v>0.08</v>
      </c>
      <c r="I37">
        <v>55</v>
      </c>
      <c r="J37">
        <v>0.05</v>
      </c>
      <c r="K37">
        <v>35</v>
      </c>
      <c r="L37">
        <v>0.02</v>
      </c>
      <c r="M37">
        <v>18</v>
      </c>
    </row>
    <row r="38" spans="1:13" x14ac:dyDescent="0.4">
      <c r="A38" t="s">
        <v>46</v>
      </c>
      <c r="B38">
        <v>0.15</v>
      </c>
      <c r="C38">
        <v>100</v>
      </c>
      <c r="D38">
        <v>0.12</v>
      </c>
      <c r="E38">
        <v>88</v>
      </c>
      <c r="F38">
        <v>0.08</v>
      </c>
      <c r="G38">
        <v>72</v>
      </c>
      <c r="H38">
        <v>0.06</v>
      </c>
      <c r="I38">
        <v>55</v>
      </c>
      <c r="J38">
        <v>0.04</v>
      </c>
      <c r="K38">
        <v>35</v>
      </c>
      <c r="L38">
        <v>0.02</v>
      </c>
      <c r="M38">
        <v>18</v>
      </c>
    </row>
    <row r="39" spans="1:13" x14ac:dyDescent="0.4">
      <c r="A39" t="s">
        <v>47</v>
      </c>
      <c r="B39">
        <v>0.2</v>
      </c>
      <c r="C39">
        <v>100</v>
      </c>
      <c r="D39">
        <v>0.15</v>
      </c>
      <c r="E39">
        <v>88</v>
      </c>
      <c r="F39">
        <v>0.1</v>
      </c>
      <c r="G39">
        <v>72</v>
      </c>
      <c r="H39">
        <v>7.0000000000000007E-2</v>
      </c>
      <c r="I39">
        <v>55</v>
      </c>
      <c r="J39">
        <v>0.04</v>
      </c>
      <c r="K39">
        <v>35</v>
      </c>
      <c r="L39">
        <v>0.01</v>
      </c>
      <c r="M39">
        <v>18</v>
      </c>
    </row>
    <row r="40" spans="1:13" x14ac:dyDescent="0.4">
      <c r="A40" t="s">
        <v>48</v>
      </c>
      <c r="B40">
        <v>0.25</v>
      </c>
      <c r="C40">
        <v>100</v>
      </c>
      <c r="D40">
        <v>0.18</v>
      </c>
      <c r="E40">
        <v>88</v>
      </c>
      <c r="F40">
        <v>0.12</v>
      </c>
      <c r="G40">
        <v>72</v>
      </c>
      <c r="H40">
        <v>0.08</v>
      </c>
      <c r="I40">
        <v>55</v>
      </c>
      <c r="J40">
        <v>0.04</v>
      </c>
      <c r="K40">
        <v>35</v>
      </c>
      <c r="L40">
        <v>0.02</v>
      </c>
      <c r="M40">
        <v>18</v>
      </c>
    </row>
    <row r="41" spans="1:13" x14ac:dyDescent="0.4">
      <c r="A41" t="s">
        <v>0</v>
      </c>
      <c r="B41">
        <v>0.18</v>
      </c>
      <c r="C41">
        <v>100</v>
      </c>
      <c r="D41">
        <v>0.14000000000000001</v>
      </c>
      <c r="E41">
        <v>85</v>
      </c>
      <c r="F41">
        <v>0.1</v>
      </c>
      <c r="G41">
        <v>70</v>
      </c>
      <c r="H41">
        <v>7.0000000000000007E-2</v>
      </c>
      <c r="I41">
        <v>52</v>
      </c>
      <c r="J41">
        <v>0.04</v>
      </c>
      <c r="K41">
        <v>32</v>
      </c>
      <c r="L41">
        <v>0.02</v>
      </c>
      <c r="M41">
        <v>15</v>
      </c>
    </row>
    <row r="42" spans="1:13" x14ac:dyDescent="0.4">
      <c r="A42" t="s">
        <v>49</v>
      </c>
      <c r="B42">
        <v>0.18</v>
      </c>
      <c r="C42">
        <v>100</v>
      </c>
      <c r="D42">
        <v>0.14000000000000001</v>
      </c>
      <c r="E42">
        <v>85</v>
      </c>
      <c r="F42">
        <v>0.1</v>
      </c>
      <c r="G42">
        <v>70</v>
      </c>
      <c r="H42">
        <v>7.0000000000000007E-2</v>
      </c>
      <c r="I42">
        <v>52</v>
      </c>
      <c r="J42">
        <v>0.04</v>
      </c>
      <c r="K42">
        <v>32</v>
      </c>
      <c r="L42">
        <v>0.02</v>
      </c>
      <c r="M42">
        <v>15</v>
      </c>
    </row>
    <row r="43" spans="1:13" x14ac:dyDescent="0.4">
      <c r="A43" t="s">
        <v>50</v>
      </c>
      <c r="B43">
        <v>0.15</v>
      </c>
      <c r="C43">
        <v>100</v>
      </c>
      <c r="D43">
        <v>0.1</v>
      </c>
      <c r="E43">
        <v>82</v>
      </c>
      <c r="F43">
        <v>7.0000000000000007E-2</v>
      </c>
      <c r="G43">
        <v>65</v>
      </c>
      <c r="H43">
        <v>0.05</v>
      </c>
      <c r="I43">
        <v>48</v>
      </c>
      <c r="J43">
        <v>0.03</v>
      </c>
      <c r="K43">
        <v>28</v>
      </c>
      <c r="L43">
        <v>0.01</v>
      </c>
      <c r="M43">
        <v>12</v>
      </c>
    </row>
    <row r="44" spans="1:13" x14ac:dyDescent="0.4">
      <c r="A44" t="s">
        <v>51</v>
      </c>
      <c r="B44">
        <v>0.15</v>
      </c>
      <c r="C44">
        <v>100</v>
      </c>
      <c r="D44">
        <v>0.1</v>
      </c>
      <c r="E44">
        <v>82</v>
      </c>
      <c r="F44">
        <v>7.0000000000000007E-2</v>
      </c>
      <c r="G44">
        <v>65</v>
      </c>
      <c r="H44">
        <v>0.05</v>
      </c>
      <c r="I44">
        <v>48</v>
      </c>
      <c r="J44">
        <v>0.03</v>
      </c>
      <c r="K44">
        <v>28</v>
      </c>
      <c r="L44">
        <v>0.01</v>
      </c>
      <c r="M44">
        <v>12</v>
      </c>
    </row>
    <row r="45" spans="1:13" x14ac:dyDescent="0.4">
      <c r="A45" t="s">
        <v>52</v>
      </c>
      <c r="B45">
        <v>0.1</v>
      </c>
      <c r="C45">
        <v>100</v>
      </c>
      <c r="D45">
        <v>0.08</v>
      </c>
      <c r="E45">
        <v>82</v>
      </c>
      <c r="F45">
        <v>0.06</v>
      </c>
      <c r="G45">
        <v>65</v>
      </c>
      <c r="H45">
        <v>0.04</v>
      </c>
      <c r="I45">
        <v>48</v>
      </c>
      <c r="J45">
        <v>0.03</v>
      </c>
      <c r="K45">
        <v>30</v>
      </c>
      <c r="L45">
        <v>0.01</v>
      </c>
      <c r="M45">
        <v>12</v>
      </c>
    </row>
    <row r="46" spans="1:13" x14ac:dyDescent="0.4">
      <c r="A46" t="s">
        <v>53</v>
      </c>
      <c r="B46">
        <v>0.08</v>
      </c>
      <c r="C46">
        <v>100</v>
      </c>
      <c r="D46">
        <v>0.06</v>
      </c>
      <c r="E46">
        <v>82</v>
      </c>
      <c r="F46">
        <v>0.05</v>
      </c>
      <c r="G46">
        <v>65</v>
      </c>
      <c r="H46">
        <v>0.03</v>
      </c>
      <c r="I46">
        <v>48</v>
      </c>
      <c r="J46">
        <v>0.02</v>
      </c>
      <c r="K46">
        <v>30</v>
      </c>
      <c r="L46">
        <v>0.01</v>
      </c>
      <c r="M46">
        <v>12</v>
      </c>
    </row>
    <row r="48" spans="1:13" x14ac:dyDescent="0.4">
      <c r="A48" t="s">
        <v>56</v>
      </c>
    </row>
    <row r="49" spans="1:13" x14ac:dyDescent="0.4">
      <c r="A49" t="s">
        <v>40</v>
      </c>
      <c r="B49" t="s">
        <v>8</v>
      </c>
      <c r="C49" t="s">
        <v>9</v>
      </c>
      <c r="D49" t="s">
        <v>10</v>
      </c>
      <c r="E49" t="s">
        <v>11</v>
      </c>
      <c r="F49" t="s">
        <v>12</v>
      </c>
      <c r="G49" t="s">
        <v>13</v>
      </c>
      <c r="H49" t="s">
        <v>14</v>
      </c>
      <c r="I49" t="s">
        <v>15</v>
      </c>
      <c r="J49" t="s">
        <v>16</v>
      </c>
      <c r="K49" t="s">
        <v>17</v>
      </c>
      <c r="L49" t="s">
        <v>18</v>
      </c>
      <c r="M49" t="s">
        <v>19</v>
      </c>
    </row>
    <row r="50" spans="1:13" x14ac:dyDescent="0.4">
      <c r="A50" t="s">
        <v>44</v>
      </c>
      <c r="B50">
        <v>0.25</v>
      </c>
      <c r="C50">
        <v>100</v>
      </c>
      <c r="D50">
        <v>0.18</v>
      </c>
      <c r="E50">
        <v>88</v>
      </c>
      <c r="F50">
        <v>0.12</v>
      </c>
      <c r="G50">
        <v>72</v>
      </c>
      <c r="H50">
        <v>0.08</v>
      </c>
      <c r="I50">
        <v>55</v>
      </c>
      <c r="J50">
        <v>0.04</v>
      </c>
      <c r="K50">
        <v>35</v>
      </c>
      <c r="L50">
        <v>0.01</v>
      </c>
      <c r="M50">
        <v>18</v>
      </c>
    </row>
    <row r="51" spans="1:13" x14ac:dyDescent="0.4">
      <c r="A51" t="s">
        <v>45</v>
      </c>
      <c r="B51">
        <v>0.2</v>
      </c>
      <c r="C51">
        <v>100</v>
      </c>
      <c r="D51">
        <v>0.15</v>
      </c>
      <c r="E51">
        <v>88</v>
      </c>
      <c r="F51">
        <v>0.1</v>
      </c>
      <c r="G51">
        <v>72</v>
      </c>
      <c r="H51">
        <v>0.06</v>
      </c>
      <c r="I51">
        <v>55</v>
      </c>
      <c r="J51">
        <v>0.03</v>
      </c>
      <c r="K51">
        <v>35</v>
      </c>
      <c r="L51">
        <v>0.01</v>
      </c>
      <c r="M51">
        <v>18</v>
      </c>
    </row>
    <row r="52" spans="1:13" x14ac:dyDescent="0.4">
      <c r="A52" t="s">
        <v>46</v>
      </c>
      <c r="B52">
        <v>0.3</v>
      </c>
      <c r="C52">
        <v>100</v>
      </c>
      <c r="D52">
        <v>0.22</v>
      </c>
      <c r="E52">
        <v>88</v>
      </c>
      <c r="F52">
        <v>0.15</v>
      </c>
      <c r="G52">
        <v>72</v>
      </c>
      <c r="H52">
        <v>0.1</v>
      </c>
      <c r="I52">
        <v>55</v>
      </c>
      <c r="J52">
        <v>0.05</v>
      </c>
      <c r="K52">
        <v>35</v>
      </c>
      <c r="L52">
        <v>0.02</v>
      </c>
      <c r="M52">
        <v>18</v>
      </c>
    </row>
    <row r="53" spans="1:13" x14ac:dyDescent="0.4">
      <c r="A53" t="s">
        <v>47</v>
      </c>
      <c r="B53">
        <v>0.12</v>
      </c>
      <c r="C53">
        <v>100</v>
      </c>
      <c r="D53">
        <v>0.08</v>
      </c>
      <c r="E53">
        <v>85</v>
      </c>
      <c r="F53">
        <v>0.05</v>
      </c>
      <c r="G53">
        <v>68</v>
      </c>
      <c r="H53">
        <v>0.03</v>
      </c>
      <c r="I53">
        <v>50</v>
      </c>
      <c r="J53">
        <v>0.01</v>
      </c>
      <c r="K53">
        <v>32</v>
      </c>
      <c r="L53">
        <v>0</v>
      </c>
      <c r="M53">
        <v>15</v>
      </c>
    </row>
    <row r="54" spans="1:13" x14ac:dyDescent="0.4">
      <c r="A54" t="s">
        <v>48</v>
      </c>
      <c r="B54">
        <v>0.2</v>
      </c>
      <c r="C54">
        <v>100</v>
      </c>
      <c r="D54">
        <v>0.15</v>
      </c>
      <c r="E54">
        <v>85</v>
      </c>
      <c r="F54">
        <v>0.1</v>
      </c>
      <c r="G54">
        <v>68</v>
      </c>
      <c r="H54">
        <v>0.06</v>
      </c>
      <c r="I54">
        <v>50</v>
      </c>
      <c r="J54">
        <v>0.03</v>
      </c>
      <c r="K54">
        <v>32</v>
      </c>
      <c r="L54">
        <v>0.01</v>
      </c>
      <c r="M54">
        <v>15</v>
      </c>
    </row>
    <row r="55" spans="1:13" x14ac:dyDescent="0.4">
      <c r="A55" t="s">
        <v>0</v>
      </c>
      <c r="B55">
        <v>0.12</v>
      </c>
      <c r="C55">
        <v>100</v>
      </c>
      <c r="D55">
        <v>0.08</v>
      </c>
      <c r="E55">
        <v>85</v>
      </c>
      <c r="F55">
        <v>0.05</v>
      </c>
      <c r="G55">
        <v>68</v>
      </c>
      <c r="H55">
        <v>0.03</v>
      </c>
      <c r="I55">
        <v>50</v>
      </c>
      <c r="J55">
        <v>0.01</v>
      </c>
      <c r="K55">
        <v>32</v>
      </c>
      <c r="L55">
        <v>0</v>
      </c>
      <c r="M55">
        <v>15</v>
      </c>
    </row>
    <row r="56" spans="1:13" x14ac:dyDescent="0.4">
      <c r="A56" t="s">
        <v>49</v>
      </c>
      <c r="B56">
        <v>0.1</v>
      </c>
      <c r="C56">
        <v>100</v>
      </c>
      <c r="D56">
        <v>7.0000000000000007E-2</v>
      </c>
      <c r="E56">
        <v>85</v>
      </c>
      <c r="F56">
        <v>0.05</v>
      </c>
      <c r="G56">
        <v>68</v>
      </c>
      <c r="H56">
        <v>0.03</v>
      </c>
      <c r="I56">
        <v>50</v>
      </c>
      <c r="J56">
        <v>0.01</v>
      </c>
      <c r="K56">
        <v>32</v>
      </c>
      <c r="L56">
        <v>0</v>
      </c>
      <c r="M56">
        <v>15</v>
      </c>
    </row>
    <row r="57" spans="1:13" x14ac:dyDescent="0.4">
      <c r="A57" t="s">
        <v>50</v>
      </c>
      <c r="B57">
        <v>0.12</v>
      </c>
      <c r="C57">
        <v>100</v>
      </c>
      <c r="D57">
        <v>0.08</v>
      </c>
      <c r="E57">
        <v>82</v>
      </c>
      <c r="F57">
        <v>0.05</v>
      </c>
      <c r="G57">
        <v>65</v>
      </c>
      <c r="H57">
        <v>0.03</v>
      </c>
      <c r="I57">
        <v>48</v>
      </c>
      <c r="J57">
        <v>0.01</v>
      </c>
      <c r="K57">
        <v>28</v>
      </c>
      <c r="L57">
        <v>0</v>
      </c>
      <c r="M57">
        <v>12</v>
      </c>
    </row>
    <row r="58" spans="1:13" x14ac:dyDescent="0.4">
      <c r="A58" t="s">
        <v>51</v>
      </c>
      <c r="B58">
        <v>0.1</v>
      </c>
      <c r="C58">
        <v>100</v>
      </c>
      <c r="D58">
        <v>7.0000000000000007E-2</v>
      </c>
      <c r="E58">
        <v>82</v>
      </c>
      <c r="F58">
        <v>0.05</v>
      </c>
      <c r="G58">
        <v>65</v>
      </c>
      <c r="H58">
        <v>0.03</v>
      </c>
      <c r="I58">
        <v>48</v>
      </c>
      <c r="J58">
        <v>0.01</v>
      </c>
      <c r="K58">
        <v>28</v>
      </c>
      <c r="L58">
        <v>0</v>
      </c>
      <c r="M58">
        <v>12</v>
      </c>
    </row>
    <row r="59" spans="1:13" x14ac:dyDescent="0.4">
      <c r="A59" t="s">
        <v>52</v>
      </c>
      <c r="B59">
        <v>0.12</v>
      </c>
      <c r="C59">
        <v>100</v>
      </c>
      <c r="D59">
        <v>0.08</v>
      </c>
      <c r="E59">
        <v>82</v>
      </c>
      <c r="F59">
        <v>0.06</v>
      </c>
      <c r="G59">
        <v>65</v>
      </c>
      <c r="H59">
        <v>0.04</v>
      </c>
      <c r="I59">
        <v>48</v>
      </c>
      <c r="J59">
        <v>0.02</v>
      </c>
      <c r="K59">
        <v>30</v>
      </c>
      <c r="L59">
        <v>0.01</v>
      </c>
      <c r="M59">
        <v>15</v>
      </c>
    </row>
    <row r="60" spans="1:13" x14ac:dyDescent="0.4">
      <c r="A60" t="s">
        <v>53</v>
      </c>
      <c r="B60">
        <v>0.15</v>
      </c>
      <c r="C60">
        <v>100</v>
      </c>
      <c r="D60">
        <v>0.1</v>
      </c>
      <c r="E60">
        <v>82</v>
      </c>
      <c r="F60">
        <v>7.0000000000000007E-2</v>
      </c>
      <c r="G60">
        <v>65</v>
      </c>
      <c r="H60">
        <v>0.04</v>
      </c>
      <c r="I60">
        <v>48</v>
      </c>
      <c r="J60">
        <v>0.02</v>
      </c>
      <c r="K60">
        <v>30</v>
      </c>
      <c r="L60">
        <v>0.01</v>
      </c>
      <c r="M60">
        <v>15</v>
      </c>
    </row>
    <row r="62" spans="1:13" x14ac:dyDescent="0.4">
      <c r="A62" t="s">
        <v>57</v>
      </c>
    </row>
    <row r="63" spans="1:13" x14ac:dyDescent="0.4">
      <c r="A63" t="s">
        <v>40</v>
      </c>
      <c r="B63" t="s">
        <v>8</v>
      </c>
      <c r="C63" t="s">
        <v>9</v>
      </c>
      <c r="D63" t="s">
        <v>10</v>
      </c>
      <c r="E63" t="s">
        <v>11</v>
      </c>
      <c r="F63" t="s">
        <v>12</v>
      </c>
      <c r="G63" t="s">
        <v>13</v>
      </c>
      <c r="H63" t="s">
        <v>14</v>
      </c>
      <c r="I63" t="s">
        <v>15</v>
      </c>
      <c r="J63" t="s">
        <v>16</v>
      </c>
      <c r="K63" t="s">
        <v>17</v>
      </c>
      <c r="L63" t="s">
        <v>18</v>
      </c>
      <c r="M63" t="s">
        <v>19</v>
      </c>
    </row>
    <row r="64" spans="1:13" x14ac:dyDescent="0.4">
      <c r="A64" t="s">
        <v>44</v>
      </c>
      <c r="B64">
        <v>0.25</v>
      </c>
      <c r="C64">
        <v>100</v>
      </c>
      <c r="D64">
        <v>0.18</v>
      </c>
      <c r="E64">
        <v>88</v>
      </c>
      <c r="F64">
        <v>0.12</v>
      </c>
      <c r="G64">
        <v>72</v>
      </c>
      <c r="H64">
        <v>7.0000000000000007E-2</v>
      </c>
      <c r="I64">
        <v>55</v>
      </c>
      <c r="J64">
        <v>0.03</v>
      </c>
      <c r="K64">
        <v>35</v>
      </c>
      <c r="L64">
        <v>0</v>
      </c>
      <c r="M64">
        <v>18</v>
      </c>
    </row>
    <row r="65" spans="1:13" x14ac:dyDescent="0.4">
      <c r="A65" t="s">
        <v>45</v>
      </c>
      <c r="B65">
        <v>0.2</v>
      </c>
      <c r="C65">
        <v>100</v>
      </c>
      <c r="D65">
        <v>0.14000000000000001</v>
      </c>
      <c r="E65">
        <v>88</v>
      </c>
      <c r="F65">
        <v>0.08</v>
      </c>
      <c r="G65">
        <v>72</v>
      </c>
      <c r="H65">
        <v>0.05</v>
      </c>
      <c r="I65">
        <v>55</v>
      </c>
      <c r="J65">
        <v>0.02</v>
      </c>
      <c r="K65">
        <v>35</v>
      </c>
      <c r="L65">
        <v>0</v>
      </c>
      <c r="M65">
        <v>18</v>
      </c>
    </row>
    <row r="66" spans="1:13" x14ac:dyDescent="0.4">
      <c r="A66" t="s">
        <v>46</v>
      </c>
      <c r="B66">
        <v>0.12</v>
      </c>
      <c r="C66">
        <v>100</v>
      </c>
      <c r="D66">
        <v>0.08</v>
      </c>
      <c r="E66">
        <v>85</v>
      </c>
      <c r="F66">
        <v>0.05</v>
      </c>
      <c r="G66">
        <v>68</v>
      </c>
      <c r="H66">
        <v>0.03</v>
      </c>
      <c r="I66">
        <v>50</v>
      </c>
      <c r="J66">
        <v>0.01</v>
      </c>
      <c r="K66">
        <v>32</v>
      </c>
      <c r="L66">
        <v>0</v>
      </c>
      <c r="M66">
        <v>15</v>
      </c>
    </row>
    <row r="67" spans="1:13" x14ac:dyDescent="0.4">
      <c r="A67" t="s">
        <v>47</v>
      </c>
      <c r="B67">
        <v>0.15</v>
      </c>
      <c r="C67">
        <v>100</v>
      </c>
      <c r="D67">
        <v>0.1</v>
      </c>
      <c r="E67">
        <v>85</v>
      </c>
      <c r="F67">
        <v>0.06</v>
      </c>
      <c r="G67">
        <v>68</v>
      </c>
      <c r="H67">
        <v>0.03</v>
      </c>
      <c r="I67">
        <v>50</v>
      </c>
      <c r="J67">
        <v>0.01</v>
      </c>
      <c r="K67">
        <v>32</v>
      </c>
      <c r="L67">
        <v>-0.02</v>
      </c>
      <c r="M67">
        <v>15</v>
      </c>
    </row>
    <row r="68" spans="1:13" x14ac:dyDescent="0.4">
      <c r="A68" t="s">
        <v>48</v>
      </c>
      <c r="B68">
        <v>0.15</v>
      </c>
      <c r="C68">
        <v>100</v>
      </c>
      <c r="D68">
        <v>0.1</v>
      </c>
      <c r="E68">
        <v>85</v>
      </c>
      <c r="F68">
        <v>0.06</v>
      </c>
      <c r="G68">
        <v>68</v>
      </c>
      <c r="H68">
        <v>0.03</v>
      </c>
      <c r="I68">
        <v>50</v>
      </c>
      <c r="J68">
        <v>0.01</v>
      </c>
      <c r="K68">
        <v>32</v>
      </c>
      <c r="L68">
        <v>-0.02</v>
      </c>
      <c r="M68">
        <v>15</v>
      </c>
    </row>
    <row r="69" spans="1:13" x14ac:dyDescent="0.4">
      <c r="A69" t="s">
        <v>0</v>
      </c>
      <c r="B69">
        <v>0.12</v>
      </c>
      <c r="C69">
        <v>100</v>
      </c>
      <c r="D69">
        <v>0.08</v>
      </c>
      <c r="E69">
        <v>85</v>
      </c>
      <c r="F69">
        <v>0.05</v>
      </c>
      <c r="G69">
        <v>68</v>
      </c>
      <c r="H69">
        <v>0.03</v>
      </c>
      <c r="I69">
        <v>50</v>
      </c>
      <c r="J69">
        <v>0.01</v>
      </c>
      <c r="K69">
        <v>30</v>
      </c>
      <c r="L69">
        <v>-0.02</v>
      </c>
      <c r="M69">
        <v>12</v>
      </c>
    </row>
    <row r="70" spans="1:13" x14ac:dyDescent="0.4">
      <c r="A70" t="s">
        <v>49</v>
      </c>
      <c r="B70">
        <v>0.08</v>
      </c>
      <c r="C70">
        <v>100</v>
      </c>
      <c r="D70">
        <v>0.05</v>
      </c>
      <c r="E70">
        <v>85</v>
      </c>
      <c r="F70">
        <v>0.03</v>
      </c>
      <c r="G70">
        <v>68</v>
      </c>
      <c r="H70">
        <v>0.01</v>
      </c>
      <c r="I70">
        <v>50</v>
      </c>
      <c r="J70">
        <v>0</v>
      </c>
      <c r="K70">
        <v>30</v>
      </c>
      <c r="L70">
        <v>-0.02</v>
      </c>
      <c r="M70">
        <v>12</v>
      </c>
    </row>
    <row r="71" spans="1:13" x14ac:dyDescent="0.4">
      <c r="A71" t="s">
        <v>50</v>
      </c>
      <c r="B71">
        <v>0.15</v>
      </c>
      <c r="C71">
        <v>100</v>
      </c>
      <c r="D71">
        <v>0.1</v>
      </c>
      <c r="E71">
        <v>82</v>
      </c>
      <c r="F71">
        <v>0.05</v>
      </c>
      <c r="G71">
        <v>65</v>
      </c>
      <c r="H71">
        <v>0.02</v>
      </c>
      <c r="I71">
        <v>45</v>
      </c>
      <c r="J71">
        <v>0</v>
      </c>
      <c r="K71">
        <v>25</v>
      </c>
      <c r="L71">
        <v>-0.05</v>
      </c>
      <c r="M71">
        <v>10</v>
      </c>
    </row>
    <row r="72" spans="1:13" x14ac:dyDescent="0.4">
      <c r="A72" t="s">
        <v>51</v>
      </c>
      <c r="B72">
        <v>0.12</v>
      </c>
      <c r="C72">
        <v>100</v>
      </c>
      <c r="D72">
        <v>0.08</v>
      </c>
      <c r="E72">
        <v>82</v>
      </c>
      <c r="F72">
        <v>0.04</v>
      </c>
      <c r="G72">
        <v>65</v>
      </c>
      <c r="H72">
        <v>0.02</v>
      </c>
      <c r="I72">
        <v>45</v>
      </c>
      <c r="J72">
        <v>0</v>
      </c>
      <c r="K72">
        <v>25</v>
      </c>
      <c r="L72">
        <v>-0.05</v>
      </c>
      <c r="M72">
        <v>10</v>
      </c>
    </row>
    <row r="73" spans="1:13" x14ac:dyDescent="0.4">
      <c r="A73" t="s">
        <v>52</v>
      </c>
      <c r="B73">
        <v>0.06</v>
      </c>
      <c r="C73">
        <v>100</v>
      </c>
      <c r="D73">
        <v>0.04</v>
      </c>
      <c r="E73">
        <v>82</v>
      </c>
      <c r="F73">
        <v>0.02</v>
      </c>
      <c r="G73">
        <v>65</v>
      </c>
      <c r="H73">
        <v>0.01</v>
      </c>
      <c r="I73">
        <v>48</v>
      </c>
      <c r="J73">
        <v>0</v>
      </c>
      <c r="K73">
        <v>28</v>
      </c>
      <c r="L73">
        <v>-0.02</v>
      </c>
      <c r="M73">
        <v>10</v>
      </c>
    </row>
    <row r="74" spans="1:13" x14ac:dyDescent="0.4">
      <c r="A74" t="s">
        <v>53</v>
      </c>
      <c r="B74">
        <v>0.08</v>
      </c>
      <c r="C74">
        <v>100</v>
      </c>
      <c r="D74">
        <v>0.05</v>
      </c>
      <c r="E74">
        <v>82</v>
      </c>
      <c r="F74">
        <v>0.03</v>
      </c>
      <c r="G74">
        <v>65</v>
      </c>
      <c r="H74">
        <v>0.01</v>
      </c>
      <c r="I74">
        <v>48</v>
      </c>
      <c r="J74">
        <v>0</v>
      </c>
      <c r="K74">
        <v>28</v>
      </c>
      <c r="L74">
        <v>-0.03</v>
      </c>
      <c r="M74">
        <v>10</v>
      </c>
    </row>
    <row r="76" spans="1:13" x14ac:dyDescent="0.4">
      <c r="A76" t="s">
        <v>58</v>
      </c>
    </row>
    <row r="77" spans="1:13" x14ac:dyDescent="0.4">
      <c r="A77" t="s">
        <v>40</v>
      </c>
      <c r="B77" t="s">
        <v>8</v>
      </c>
      <c r="C77" t="s">
        <v>9</v>
      </c>
      <c r="D77" t="s">
        <v>10</v>
      </c>
      <c r="E77" t="s">
        <v>11</v>
      </c>
      <c r="F77" t="s">
        <v>12</v>
      </c>
      <c r="G77" t="s">
        <v>13</v>
      </c>
      <c r="H77" t="s">
        <v>14</v>
      </c>
      <c r="I77" t="s">
        <v>15</v>
      </c>
      <c r="J77" t="s">
        <v>16</v>
      </c>
      <c r="K77" t="s">
        <v>17</v>
      </c>
      <c r="L77" t="s">
        <v>18</v>
      </c>
      <c r="M77" t="s">
        <v>19</v>
      </c>
    </row>
    <row r="78" spans="1:13" x14ac:dyDescent="0.4">
      <c r="A78" t="s">
        <v>44</v>
      </c>
      <c r="B78">
        <v>0.3</v>
      </c>
      <c r="C78">
        <v>100</v>
      </c>
      <c r="D78">
        <v>0.2</v>
      </c>
      <c r="E78">
        <v>88</v>
      </c>
      <c r="F78">
        <v>0.12</v>
      </c>
      <c r="G78">
        <v>72</v>
      </c>
      <c r="H78">
        <v>0.06</v>
      </c>
      <c r="I78">
        <v>55</v>
      </c>
      <c r="J78">
        <v>0.02</v>
      </c>
      <c r="K78">
        <v>35</v>
      </c>
      <c r="L78">
        <v>-0.05</v>
      </c>
      <c r="M78">
        <v>15</v>
      </c>
    </row>
    <row r="79" spans="1:13" x14ac:dyDescent="0.4">
      <c r="A79" t="s">
        <v>45</v>
      </c>
      <c r="B79">
        <v>0.25</v>
      </c>
      <c r="C79">
        <v>100</v>
      </c>
      <c r="D79">
        <v>0.18</v>
      </c>
      <c r="E79">
        <v>88</v>
      </c>
      <c r="F79">
        <v>0.1</v>
      </c>
      <c r="G79">
        <v>72</v>
      </c>
      <c r="H79">
        <v>0.05</v>
      </c>
      <c r="I79">
        <v>55</v>
      </c>
      <c r="J79">
        <v>0.01</v>
      </c>
      <c r="K79">
        <v>35</v>
      </c>
      <c r="L79">
        <v>-0.05</v>
      </c>
      <c r="M79">
        <v>15</v>
      </c>
    </row>
    <row r="80" spans="1:13" x14ac:dyDescent="0.4">
      <c r="A80" t="s">
        <v>46</v>
      </c>
      <c r="B80">
        <v>0.15</v>
      </c>
      <c r="C80">
        <v>100</v>
      </c>
      <c r="D80">
        <v>0.1</v>
      </c>
      <c r="E80">
        <v>85</v>
      </c>
      <c r="F80">
        <v>0.06</v>
      </c>
      <c r="G80">
        <v>68</v>
      </c>
      <c r="H80">
        <v>0.03</v>
      </c>
      <c r="I80">
        <v>50</v>
      </c>
      <c r="J80">
        <v>0</v>
      </c>
      <c r="K80">
        <v>30</v>
      </c>
      <c r="L80">
        <v>-0.05</v>
      </c>
      <c r="M80">
        <v>12</v>
      </c>
    </row>
    <row r="81" spans="1:13" x14ac:dyDescent="0.4">
      <c r="A81" t="s">
        <v>47</v>
      </c>
      <c r="B81">
        <v>0.2</v>
      </c>
      <c r="C81">
        <v>100</v>
      </c>
      <c r="D81">
        <v>0.12</v>
      </c>
      <c r="E81">
        <v>85</v>
      </c>
      <c r="F81">
        <v>0.06</v>
      </c>
      <c r="G81">
        <v>68</v>
      </c>
      <c r="H81">
        <v>0.03</v>
      </c>
      <c r="I81">
        <v>50</v>
      </c>
      <c r="J81">
        <v>0</v>
      </c>
      <c r="K81">
        <v>30</v>
      </c>
      <c r="L81">
        <v>-0.05</v>
      </c>
      <c r="M81">
        <v>12</v>
      </c>
    </row>
    <row r="82" spans="1:13" x14ac:dyDescent="0.4">
      <c r="A82" t="s">
        <v>48</v>
      </c>
      <c r="B82">
        <v>0.2</v>
      </c>
      <c r="C82">
        <v>100</v>
      </c>
      <c r="D82">
        <v>0.12</v>
      </c>
      <c r="E82">
        <v>85</v>
      </c>
      <c r="F82">
        <v>0.08</v>
      </c>
      <c r="G82">
        <v>68</v>
      </c>
      <c r="H82">
        <v>0.03</v>
      </c>
      <c r="I82">
        <v>50</v>
      </c>
      <c r="J82">
        <v>0</v>
      </c>
      <c r="K82">
        <v>30</v>
      </c>
      <c r="L82">
        <v>-0.05</v>
      </c>
      <c r="M82">
        <v>12</v>
      </c>
    </row>
    <row r="83" spans="1:13" x14ac:dyDescent="0.4">
      <c r="A83" t="s">
        <v>0</v>
      </c>
      <c r="B83">
        <v>0.15</v>
      </c>
      <c r="C83">
        <v>100</v>
      </c>
      <c r="D83">
        <v>0.1</v>
      </c>
      <c r="E83">
        <v>85</v>
      </c>
      <c r="F83">
        <v>0.06</v>
      </c>
      <c r="G83">
        <v>68</v>
      </c>
      <c r="H83">
        <v>0.03</v>
      </c>
      <c r="I83">
        <v>50</v>
      </c>
      <c r="J83">
        <v>0</v>
      </c>
      <c r="K83">
        <v>30</v>
      </c>
      <c r="L83">
        <v>-0.05</v>
      </c>
      <c r="M83">
        <v>12</v>
      </c>
    </row>
    <row r="84" spans="1:13" x14ac:dyDescent="0.4">
      <c r="A84" t="s">
        <v>49</v>
      </c>
      <c r="B84">
        <v>0.1</v>
      </c>
      <c r="C84">
        <v>100</v>
      </c>
      <c r="D84">
        <v>0.06</v>
      </c>
      <c r="E84">
        <v>85</v>
      </c>
      <c r="F84">
        <v>0.04</v>
      </c>
      <c r="G84">
        <v>68</v>
      </c>
      <c r="H84">
        <v>0.02</v>
      </c>
      <c r="I84">
        <v>50</v>
      </c>
      <c r="J84">
        <v>0</v>
      </c>
      <c r="K84">
        <v>30</v>
      </c>
      <c r="L84">
        <v>-0.03</v>
      </c>
      <c r="M84">
        <v>12</v>
      </c>
    </row>
    <row r="85" spans="1:13" x14ac:dyDescent="0.4">
      <c r="A85" t="s">
        <v>50</v>
      </c>
      <c r="B85">
        <v>0.2</v>
      </c>
      <c r="C85">
        <v>100</v>
      </c>
      <c r="D85">
        <v>0.12</v>
      </c>
      <c r="E85">
        <v>82</v>
      </c>
      <c r="F85">
        <v>0.06</v>
      </c>
      <c r="G85">
        <v>62</v>
      </c>
      <c r="H85">
        <v>0.02</v>
      </c>
      <c r="I85">
        <v>42</v>
      </c>
      <c r="J85">
        <v>-0.02</v>
      </c>
      <c r="K85">
        <v>22</v>
      </c>
      <c r="L85">
        <v>-0.1</v>
      </c>
      <c r="M85">
        <v>8</v>
      </c>
    </row>
    <row r="86" spans="1:13" x14ac:dyDescent="0.4">
      <c r="A86" t="s">
        <v>51</v>
      </c>
      <c r="B86">
        <v>0.18</v>
      </c>
      <c r="C86">
        <v>100</v>
      </c>
      <c r="D86">
        <v>0.1</v>
      </c>
      <c r="E86">
        <v>82</v>
      </c>
      <c r="F86">
        <v>0.05</v>
      </c>
      <c r="G86">
        <v>62</v>
      </c>
      <c r="H86">
        <v>0.02</v>
      </c>
      <c r="I86">
        <v>42</v>
      </c>
      <c r="J86">
        <v>-0.02</v>
      </c>
      <c r="K86">
        <v>22</v>
      </c>
      <c r="L86">
        <v>-0.1</v>
      </c>
      <c r="M86">
        <v>8</v>
      </c>
    </row>
    <row r="87" spans="1:13" x14ac:dyDescent="0.4">
      <c r="A87" t="s">
        <v>52</v>
      </c>
      <c r="B87">
        <v>0.08</v>
      </c>
      <c r="C87">
        <v>100</v>
      </c>
      <c r="D87">
        <v>0.05</v>
      </c>
      <c r="E87">
        <v>82</v>
      </c>
      <c r="F87">
        <v>0.03</v>
      </c>
      <c r="G87">
        <v>65</v>
      </c>
      <c r="H87">
        <v>0.01</v>
      </c>
      <c r="I87">
        <v>48</v>
      </c>
      <c r="J87">
        <v>0</v>
      </c>
      <c r="K87">
        <v>28</v>
      </c>
      <c r="L87">
        <v>-0.03</v>
      </c>
      <c r="M87">
        <v>10</v>
      </c>
    </row>
    <row r="88" spans="1:13" x14ac:dyDescent="0.4">
      <c r="A88" t="s">
        <v>53</v>
      </c>
      <c r="B88">
        <v>0.1</v>
      </c>
      <c r="C88">
        <v>100</v>
      </c>
      <c r="D88">
        <v>0.06</v>
      </c>
      <c r="E88">
        <v>82</v>
      </c>
      <c r="F88">
        <v>0.03</v>
      </c>
      <c r="G88">
        <v>65</v>
      </c>
      <c r="H88">
        <v>0.01</v>
      </c>
      <c r="I88">
        <v>48</v>
      </c>
      <c r="J88">
        <v>0</v>
      </c>
      <c r="K88">
        <v>28</v>
      </c>
      <c r="L88">
        <v>-0.05</v>
      </c>
      <c r="M88">
        <v>10</v>
      </c>
    </row>
    <row r="90" spans="1:13" x14ac:dyDescent="0.4">
      <c r="A90" t="s">
        <v>59</v>
      </c>
    </row>
    <row r="91" spans="1:13" x14ac:dyDescent="0.4">
      <c r="A91" t="s">
        <v>40</v>
      </c>
      <c r="B91" t="s">
        <v>8</v>
      </c>
      <c r="C91" t="s">
        <v>9</v>
      </c>
      <c r="D91" t="s">
        <v>10</v>
      </c>
      <c r="E91" t="s">
        <v>11</v>
      </c>
      <c r="F91" t="s">
        <v>12</v>
      </c>
      <c r="G91" t="s">
        <v>13</v>
      </c>
      <c r="H91" t="s">
        <v>14</v>
      </c>
      <c r="I91" t="s">
        <v>15</v>
      </c>
      <c r="J91" t="s">
        <v>16</v>
      </c>
      <c r="K91" t="s">
        <v>17</v>
      </c>
      <c r="L91" t="s">
        <v>18</v>
      </c>
      <c r="M91" t="s">
        <v>19</v>
      </c>
    </row>
    <row r="92" spans="1:13" x14ac:dyDescent="0.4">
      <c r="A92" t="s">
        <v>44</v>
      </c>
      <c r="B92">
        <v>2</v>
      </c>
      <c r="C92">
        <v>100</v>
      </c>
      <c r="D92">
        <v>1.5</v>
      </c>
      <c r="E92">
        <v>85</v>
      </c>
      <c r="F92">
        <v>1.2</v>
      </c>
      <c r="G92">
        <v>70</v>
      </c>
      <c r="H92">
        <v>1</v>
      </c>
      <c r="I92">
        <v>52</v>
      </c>
      <c r="J92">
        <v>0.8</v>
      </c>
      <c r="K92">
        <v>35</v>
      </c>
      <c r="L92">
        <v>0.5</v>
      </c>
      <c r="M92">
        <v>18</v>
      </c>
    </row>
    <row r="93" spans="1:13" x14ac:dyDescent="0.4">
      <c r="A93" t="s">
        <v>45</v>
      </c>
      <c r="B93">
        <v>1.8</v>
      </c>
      <c r="C93">
        <v>100</v>
      </c>
      <c r="D93">
        <v>1.4</v>
      </c>
      <c r="E93">
        <v>85</v>
      </c>
      <c r="F93">
        <v>1.1000000000000001</v>
      </c>
      <c r="G93">
        <v>70</v>
      </c>
      <c r="H93">
        <v>0.9</v>
      </c>
      <c r="I93">
        <v>52</v>
      </c>
      <c r="J93">
        <v>0.7</v>
      </c>
      <c r="K93">
        <v>35</v>
      </c>
      <c r="L93">
        <v>0.4</v>
      </c>
      <c r="M93">
        <v>18</v>
      </c>
    </row>
    <row r="94" spans="1:13" x14ac:dyDescent="0.4">
      <c r="A94" t="s">
        <v>46</v>
      </c>
      <c r="B94">
        <v>1.5</v>
      </c>
      <c r="C94">
        <v>100</v>
      </c>
      <c r="D94">
        <v>1.2</v>
      </c>
      <c r="E94">
        <v>85</v>
      </c>
      <c r="F94">
        <v>1</v>
      </c>
      <c r="G94">
        <v>70</v>
      </c>
      <c r="H94">
        <v>0.8</v>
      </c>
      <c r="I94">
        <v>52</v>
      </c>
      <c r="J94">
        <v>0.6</v>
      </c>
      <c r="K94">
        <v>35</v>
      </c>
      <c r="L94">
        <v>0.4</v>
      </c>
      <c r="M94">
        <v>18</v>
      </c>
    </row>
    <row r="95" spans="1:13" x14ac:dyDescent="0.4">
      <c r="A95" t="s">
        <v>47</v>
      </c>
      <c r="B95">
        <v>1.8</v>
      </c>
      <c r="C95">
        <v>100</v>
      </c>
      <c r="D95">
        <v>1.4</v>
      </c>
      <c r="E95">
        <v>85</v>
      </c>
      <c r="F95">
        <v>1.1000000000000001</v>
      </c>
      <c r="G95">
        <v>70</v>
      </c>
      <c r="H95">
        <v>0.9</v>
      </c>
      <c r="I95">
        <v>52</v>
      </c>
      <c r="J95">
        <v>0.7</v>
      </c>
      <c r="K95">
        <v>35</v>
      </c>
      <c r="L95">
        <v>0.4</v>
      </c>
      <c r="M95">
        <v>18</v>
      </c>
    </row>
    <row r="96" spans="1:13" x14ac:dyDescent="0.4">
      <c r="A96" t="s">
        <v>48</v>
      </c>
      <c r="B96">
        <v>1.8</v>
      </c>
      <c r="C96">
        <v>100</v>
      </c>
      <c r="D96">
        <v>1.4</v>
      </c>
      <c r="E96">
        <v>85</v>
      </c>
      <c r="F96">
        <v>1.1000000000000001</v>
      </c>
      <c r="G96">
        <v>70</v>
      </c>
      <c r="H96">
        <v>0.9</v>
      </c>
      <c r="I96">
        <v>52</v>
      </c>
      <c r="J96">
        <v>0.7</v>
      </c>
      <c r="K96">
        <v>35</v>
      </c>
      <c r="L96">
        <v>0.4</v>
      </c>
      <c r="M96">
        <v>18</v>
      </c>
    </row>
    <row r="97" spans="1:13" x14ac:dyDescent="0.4">
      <c r="A97" t="s">
        <v>0</v>
      </c>
      <c r="B97">
        <v>1.8</v>
      </c>
      <c r="C97">
        <v>100</v>
      </c>
      <c r="D97">
        <v>1.4</v>
      </c>
      <c r="E97">
        <v>82</v>
      </c>
      <c r="F97">
        <v>1.1000000000000001</v>
      </c>
      <c r="G97">
        <v>68</v>
      </c>
      <c r="H97">
        <v>0.9</v>
      </c>
      <c r="I97">
        <v>50</v>
      </c>
      <c r="J97">
        <v>0.7</v>
      </c>
      <c r="K97">
        <v>32</v>
      </c>
      <c r="L97">
        <v>0.4</v>
      </c>
      <c r="M97">
        <v>15</v>
      </c>
    </row>
    <row r="98" spans="1:13" x14ac:dyDescent="0.4">
      <c r="A98" t="s">
        <v>49</v>
      </c>
      <c r="B98">
        <v>1.5</v>
      </c>
      <c r="C98">
        <v>100</v>
      </c>
      <c r="D98">
        <v>1.2</v>
      </c>
      <c r="E98">
        <v>82</v>
      </c>
      <c r="F98">
        <v>1</v>
      </c>
      <c r="G98">
        <v>68</v>
      </c>
      <c r="H98">
        <v>0.8</v>
      </c>
      <c r="I98">
        <v>50</v>
      </c>
      <c r="J98">
        <v>0.6</v>
      </c>
      <c r="K98">
        <v>32</v>
      </c>
      <c r="L98">
        <v>0.4</v>
      </c>
      <c r="M98">
        <v>15</v>
      </c>
    </row>
    <row r="99" spans="1:13" x14ac:dyDescent="0.4">
      <c r="A99" t="s">
        <v>50</v>
      </c>
      <c r="B99">
        <v>2</v>
      </c>
      <c r="C99">
        <v>100</v>
      </c>
      <c r="D99">
        <v>1.5</v>
      </c>
      <c r="E99">
        <v>82</v>
      </c>
      <c r="F99">
        <v>1.2</v>
      </c>
      <c r="G99">
        <v>65</v>
      </c>
      <c r="H99">
        <v>1</v>
      </c>
      <c r="I99">
        <v>48</v>
      </c>
      <c r="J99">
        <v>0.7</v>
      </c>
      <c r="K99">
        <v>28</v>
      </c>
      <c r="L99">
        <v>0.4</v>
      </c>
      <c r="M99">
        <v>12</v>
      </c>
    </row>
    <row r="100" spans="1:13" x14ac:dyDescent="0.4">
      <c r="A100" t="s">
        <v>51</v>
      </c>
      <c r="B100">
        <v>1.8</v>
      </c>
      <c r="C100">
        <v>100</v>
      </c>
      <c r="D100">
        <v>1.4</v>
      </c>
      <c r="E100">
        <v>82</v>
      </c>
      <c r="F100">
        <v>1.1000000000000001</v>
      </c>
      <c r="G100">
        <v>65</v>
      </c>
      <c r="H100">
        <v>0.8</v>
      </c>
      <c r="I100">
        <v>48</v>
      </c>
      <c r="J100">
        <v>0.6</v>
      </c>
      <c r="K100">
        <v>28</v>
      </c>
      <c r="L100">
        <v>0.3</v>
      </c>
      <c r="M100">
        <v>12</v>
      </c>
    </row>
    <row r="101" spans="1:13" x14ac:dyDescent="0.4">
      <c r="A101" t="s">
        <v>52</v>
      </c>
      <c r="B101">
        <v>1.3</v>
      </c>
      <c r="C101">
        <v>100</v>
      </c>
      <c r="D101">
        <v>1.1000000000000001</v>
      </c>
      <c r="E101">
        <v>82</v>
      </c>
      <c r="F101">
        <v>0.9</v>
      </c>
      <c r="G101">
        <v>65</v>
      </c>
      <c r="H101">
        <v>0.7</v>
      </c>
      <c r="I101">
        <v>48</v>
      </c>
      <c r="J101">
        <v>0.5</v>
      </c>
      <c r="K101">
        <v>30</v>
      </c>
      <c r="L101">
        <v>0.3</v>
      </c>
      <c r="M101">
        <v>12</v>
      </c>
    </row>
    <row r="102" spans="1:13" x14ac:dyDescent="0.4">
      <c r="A102" t="s">
        <v>53</v>
      </c>
      <c r="B102">
        <v>1.3</v>
      </c>
      <c r="C102">
        <v>100</v>
      </c>
      <c r="D102">
        <v>1.1000000000000001</v>
      </c>
      <c r="E102">
        <v>82</v>
      </c>
      <c r="F102">
        <v>0.9</v>
      </c>
      <c r="G102">
        <v>65</v>
      </c>
      <c r="H102">
        <v>0.7</v>
      </c>
      <c r="I102">
        <v>48</v>
      </c>
      <c r="J102">
        <v>0.5</v>
      </c>
      <c r="K102">
        <v>30</v>
      </c>
      <c r="L102">
        <v>0.3</v>
      </c>
      <c r="M102">
        <v>12</v>
      </c>
    </row>
    <row r="104" spans="1:13" x14ac:dyDescent="0.4">
      <c r="A104" t="s">
        <v>95</v>
      </c>
    </row>
    <row r="105" spans="1:13" x14ac:dyDescent="0.4">
      <c r="A105" t="s">
        <v>40</v>
      </c>
      <c r="B105" t="s">
        <v>20</v>
      </c>
      <c r="C105" t="s">
        <v>9</v>
      </c>
      <c r="D105" t="s">
        <v>21</v>
      </c>
      <c r="E105" t="s">
        <v>11</v>
      </c>
      <c r="F105" t="s">
        <v>22</v>
      </c>
      <c r="G105" t="s">
        <v>13</v>
      </c>
      <c r="H105" t="s">
        <v>23</v>
      </c>
      <c r="I105" t="s">
        <v>15</v>
      </c>
      <c r="J105" t="s">
        <v>24</v>
      </c>
      <c r="K105" t="s">
        <v>17</v>
      </c>
      <c r="L105" t="s">
        <v>25</v>
      </c>
      <c r="M105" t="s">
        <v>19</v>
      </c>
    </row>
    <row r="106" spans="1:13" x14ac:dyDescent="0.4">
      <c r="A106" t="s">
        <v>44</v>
      </c>
      <c r="B106">
        <v>0</v>
      </c>
      <c r="C106">
        <v>100</v>
      </c>
      <c r="D106">
        <v>0.5</v>
      </c>
      <c r="E106">
        <v>88</v>
      </c>
      <c r="F106">
        <v>1</v>
      </c>
      <c r="G106">
        <v>72</v>
      </c>
      <c r="H106">
        <v>2</v>
      </c>
      <c r="I106">
        <v>55</v>
      </c>
      <c r="J106">
        <v>3</v>
      </c>
      <c r="K106">
        <v>35</v>
      </c>
      <c r="L106">
        <v>4</v>
      </c>
      <c r="M106">
        <v>18</v>
      </c>
    </row>
    <row r="107" spans="1:13" x14ac:dyDescent="0.4">
      <c r="A107" t="s">
        <v>45</v>
      </c>
      <c r="B107">
        <v>0</v>
      </c>
      <c r="C107">
        <v>100</v>
      </c>
      <c r="D107">
        <v>1</v>
      </c>
      <c r="E107">
        <v>85</v>
      </c>
      <c r="F107">
        <v>2</v>
      </c>
      <c r="G107">
        <v>70</v>
      </c>
      <c r="H107">
        <v>3</v>
      </c>
      <c r="I107">
        <v>52</v>
      </c>
      <c r="J107">
        <v>4</v>
      </c>
      <c r="K107">
        <v>32</v>
      </c>
      <c r="L107">
        <v>5</v>
      </c>
      <c r="M107">
        <v>15</v>
      </c>
    </row>
    <row r="108" spans="1:13" x14ac:dyDescent="0.4">
      <c r="A108" t="s">
        <v>46</v>
      </c>
      <c r="B108">
        <v>0</v>
      </c>
      <c r="C108">
        <v>100</v>
      </c>
      <c r="D108">
        <v>2</v>
      </c>
      <c r="E108">
        <v>85</v>
      </c>
      <c r="F108">
        <v>3</v>
      </c>
      <c r="G108">
        <v>70</v>
      </c>
      <c r="H108">
        <v>5</v>
      </c>
      <c r="I108">
        <v>50</v>
      </c>
      <c r="J108">
        <v>7</v>
      </c>
      <c r="K108">
        <v>30</v>
      </c>
      <c r="L108">
        <v>10</v>
      </c>
      <c r="M108">
        <v>12</v>
      </c>
    </row>
    <row r="109" spans="1:13" x14ac:dyDescent="0.4">
      <c r="A109" t="s">
        <v>47</v>
      </c>
      <c r="B109">
        <v>0</v>
      </c>
      <c r="C109">
        <v>100</v>
      </c>
      <c r="D109">
        <v>1</v>
      </c>
      <c r="E109">
        <v>85</v>
      </c>
      <c r="F109">
        <v>2</v>
      </c>
      <c r="G109">
        <v>70</v>
      </c>
      <c r="H109">
        <v>3</v>
      </c>
      <c r="I109">
        <v>52</v>
      </c>
      <c r="J109">
        <v>4</v>
      </c>
      <c r="K109">
        <v>32</v>
      </c>
      <c r="L109">
        <v>5</v>
      </c>
      <c r="M109">
        <v>15</v>
      </c>
    </row>
    <row r="110" spans="1:13" x14ac:dyDescent="0.4">
      <c r="A110" t="s">
        <v>48</v>
      </c>
      <c r="B110">
        <v>0</v>
      </c>
      <c r="C110">
        <v>100</v>
      </c>
      <c r="D110">
        <v>1</v>
      </c>
      <c r="E110">
        <v>85</v>
      </c>
      <c r="F110">
        <v>2</v>
      </c>
      <c r="G110">
        <v>70</v>
      </c>
      <c r="H110">
        <v>3</v>
      </c>
      <c r="I110">
        <v>52</v>
      </c>
      <c r="J110">
        <v>4</v>
      </c>
      <c r="K110">
        <v>32</v>
      </c>
      <c r="L110">
        <v>5</v>
      </c>
      <c r="M110">
        <v>15</v>
      </c>
    </row>
    <row r="111" spans="1:13" x14ac:dyDescent="0.4">
      <c r="A111" t="s">
        <v>0</v>
      </c>
      <c r="B111">
        <v>0</v>
      </c>
      <c r="C111">
        <v>100</v>
      </c>
      <c r="D111">
        <v>1</v>
      </c>
      <c r="E111">
        <v>85</v>
      </c>
      <c r="F111">
        <v>2</v>
      </c>
      <c r="G111">
        <v>68</v>
      </c>
      <c r="H111">
        <v>3</v>
      </c>
      <c r="I111">
        <v>50</v>
      </c>
      <c r="J111">
        <v>4</v>
      </c>
      <c r="K111">
        <v>30</v>
      </c>
      <c r="L111">
        <v>5</v>
      </c>
      <c r="M111">
        <v>12</v>
      </c>
    </row>
    <row r="112" spans="1:13" x14ac:dyDescent="0.4">
      <c r="A112" t="s">
        <v>49</v>
      </c>
      <c r="B112">
        <v>0</v>
      </c>
      <c r="C112">
        <v>100</v>
      </c>
      <c r="D112">
        <v>1</v>
      </c>
      <c r="E112">
        <v>85</v>
      </c>
      <c r="F112">
        <v>2</v>
      </c>
      <c r="G112">
        <v>68</v>
      </c>
      <c r="H112">
        <v>3</v>
      </c>
      <c r="I112">
        <v>50</v>
      </c>
      <c r="J112">
        <v>4</v>
      </c>
      <c r="K112">
        <v>30</v>
      </c>
      <c r="L112">
        <v>5</v>
      </c>
      <c r="M112">
        <v>12</v>
      </c>
    </row>
    <row r="113" spans="1:13" x14ac:dyDescent="0.4">
      <c r="A113" t="s">
        <v>50</v>
      </c>
      <c r="B113">
        <v>0</v>
      </c>
      <c r="C113">
        <v>100</v>
      </c>
      <c r="D113">
        <v>1.5</v>
      </c>
      <c r="E113">
        <v>82</v>
      </c>
      <c r="F113">
        <v>2.5</v>
      </c>
      <c r="G113">
        <v>65</v>
      </c>
      <c r="H113">
        <v>3.5</v>
      </c>
      <c r="I113">
        <v>48</v>
      </c>
      <c r="J113">
        <v>5</v>
      </c>
      <c r="K113">
        <v>28</v>
      </c>
      <c r="L113">
        <v>6</v>
      </c>
      <c r="M113">
        <v>10</v>
      </c>
    </row>
    <row r="114" spans="1:13" x14ac:dyDescent="0.4">
      <c r="A114" t="s">
        <v>51</v>
      </c>
      <c r="B114">
        <v>0</v>
      </c>
      <c r="C114">
        <v>100</v>
      </c>
      <c r="D114">
        <v>1.5</v>
      </c>
      <c r="E114">
        <v>82</v>
      </c>
      <c r="F114">
        <v>2.5</v>
      </c>
      <c r="G114">
        <v>65</v>
      </c>
      <c r="H114">
        <v>3.5</v>
      </c>
      <c r="I114">
        <v>48</v>
      </c>
      <c r="J114">
        <v>5</v>
      </c>
      <c r="K114">
        <v>28</v>
      </c>
      <c r="L114">
        <v>6</v>
      </c>
      <c r="M114">
        <v>10</v>
      </c>
    </row>
    <row r="115" spans="1:13" x14ac:dyDescent="0.4">
      <c r="A115" t="s">
        <v>52</v>
      </c>
      <c r="B115">
        <v>0</v>
      </c>
      <c r="C115">
        <v>100</v>
      </c>
      <c r="D115">
        <v>2</v>
      </c>
      <c r="E115">
        <v>82</v>
      </c>
      <c r="F115">
        <v>3.5</v>
      </c>
      <c r="G115">
        <v>65</v>
      </c>
      <c r="H115">
        <v>5</v>
      </c>
      <c r="I115">
        <v>48</v>
      </c>
      <c r="J115">
        <v>6.5</v>
      </c>
      <c r="K115">
        <v>28</v>
      </c>
      <c r="L115">
        <v>8</v>
      </c>
      <c r="M115">
        <v>10</v>
      </c>
    </row>
    <row r="116" spans="1:13" x14ac:dyDescent="0.4">
      <c r="A116" t="s">
        <v>53</v>
      </c>
      <c r="B116">
        <v>0</v>
      </c>
      <c r="C116">
        <v>100</v>
      </c>
      <c r="D116">
        <v>3</v>
      </c>
      <c r="E116">
        <v>82</v>
      </c>
      <c r="F116">
        <v>5</v>
      </c>
      <c r="G116">
        <v>65</v>
      </c>
      <c r="H116">
        <v>7</v>
      </c>
      <c r="I116">
        <v>48</v>
      </c>
      <c r="J116">
        <v>9</v>
      </c>
      <c r="K116">
        <v>28</v>
      </c>
      <c r="L116">
        <v>12</v>
      </c>
      <c r="M116">
        <v>10</v>
      </c>
    </row>
    <row r="118" spans="1:13" x14ac:dyDescent="0.4">
      <c r="A118" t="s">
        <v>60</v>
      </c>
    </row>
    <row r="119" spans="1:13" x14ac:dyDescent="0.4">
      <c r="A119" t="s">
        <v>40</v>
      </c>
      <c r="B119" t="s">
        <v>8</v>
      </c>
      <c r="C119" t="s">
        <v>9</v>
      </c>
      <c r="D119" t="s">
        <v>10</v>
      </c>
      <c r="E119" t="s">
        <v>11</v>
      </c>
      <c r="F119" t="s">
        <v>12</v>
      </c>
      <c r="G119" t="s">
        <v>13</v>
      </c>
      <c r="H119" t="s">
        <v>14</v>
      </c>
      <c r="I119" t="s">
        <v>15</v>
      </c>
      <c r="J119" t="s">
        <v>16</v>
      </c>
      <c r="K119" t="s">
        <v>17</v>
      </c>
      <c r="L119" t="s">
        <v>18</v>
      </c>
      <c r="M119" t="s">
        <v>19</v>
      </c>
    </row>
    <row r="120" spans="1:13" x14ac:dyDescent="0.4">
      <c r="A120" t="s">
        <v>44</v>
      </c>
      <c r="B120">
        <v>2.5</v>
      </c>
      <c r="C120">
        <v>100</v>
      </c>
      <c r="D120">
        <v>2</v>
      </c>
      <c r="E120">
        <v>85</v>
      </c>
      <c r="F120">
        <v>1.5</v>
      </c>
      <c r="G120">
        <v>70</v>
      </c>
      <c r="H120">
        <v>1.2</v>
      </c>
      <c r="I120">
        <v>52</v>
      </c>
      <c r="J120">
        <v>1</v>
      </c>
      <c r="K120">
        <v>35</v>
      </c>
      <c r="L120">
        <v>0.7</v>
      </c>
      <c r="M120">
        <v>18</v>
      </c>
    </row>
    <row r="121" spans="1:13" x14ac:dyDescent="0.4">
      <c r="A121" t="s">
        <v>45</v>
      </c>
      <c r="B121">
        <v>2.5</v>
      </c>
      <c r="C121">
        <v>100</v>
      </c>
      <c r="D121">
        <v>2</v>
      </c>
      <c r="E121">
        <v>85</v>
      </c>
      <c r="F121">
        <v>1.5</v>
      </c>
      <c r="G121">
        <v>70</v>
      </c>
      <c r="H121">
        <v>1.2</v>
      </c>
      <c r="I121">
        <v>52</v>
      </c>
      <c r="J121">
        <v>1</v>
      </c>
      <c r="K121">
        <v>35</v>
      </c>
      <c r="L121">
        <v>0.7</v>
      </c>
      <c r="M121">
        <v>18</v>
      </c>
    </row>
    <row r="122" spans="1:13" x14ac:dyDescent="0.4">
      <c r="A122" t="s">
        <v>46</v>
      </c>
      <c r="B122">
        <v>1.5</v>
      </c>
      <c r="C122">
        <v>100</v>
      </c>
      <c r="D122">
        <v>1.2</v>
      </c>
      <c r="E122">
        <v>85</v>
      </c>
      <c r="F122">
        <v>1</v>
      </c>
      <c r="G122">
        <v>70</v>
      </c>
      <c r="H122">
        <v>0.8</v>
      </c>
      <c r="I122">
        <v>52</v>
      </c>
      <c r="J122">
        <v>0.6</v>
      </c>
      <c r="K122">
        <v>35</v>
      </c>
      <c r="L122">
        <v>0.4</v>
      </c>
      <c r="M122">
        <v>18</v>
      </c>
    </row>
    <row r="123" spans="1:13" x14ac:dyDescent="0.4">
      <c r="A123" t="s">
        <v>47</v>
      </c>
      <c r="B123">
        <v>2</v>
      </c>
      <c r="C123">
        <v>100</v>
      </c>
      <c r="D123">
        <v>1.5</v>
      </c>
      <c r="E123">
        <v>85</v>
      </c>
      <c r="F123">
        <v>1.2</v>
      </c>
      <c r="G123">
        <v>70</v>
      </c>
      <c r="H123">
        <v>1</v>
      </c>
      <c r="I123">
        <v>52</v>
      </c>
      <c r="J123">
        <v>0.8</v>
      </c>
      <c r="K123">
        <v>35</v>
      </c>
      <c r="L123">
        <v>0.5</v>
      </c>
      <c r="M123">
        <v>18</v>
      </c>
    </row>
    <row r="124" spans="1:13" x14ac:dyDescent="0.4">
      <c r="A124" t="s">
        <v>48</v>
      </c>
      <c r="B124">
        <v>2</v>
      </c>
      <c r="C124">
        <v>100</v>
      </c>
      <c r="D124">
        <v>1.5</v>
      </c>
      <c r="E124">
        <v>85</v>
      </c>
      <c r="F124">
        <v>1.2</v>
      </c>
      <c r="G124">
        <v>70</v>
      </c>
      <c r="H124">
        <v>1</v>
      </c>
      <c r="I124">
        <v>52</v>
      </c>
      <c r="J124">
        <v>0.8</v>
      </c>
      <c r="K124">
        <v>35</v>
      </c>
      <c r="L124">
        <v>0.5</v>
      </c>
      <c r="M124">
        <v>18</v>
      </c>
    </row>
    <row r="125" spans="1:13" x14ac:dyDescent="0.4">
      <c r="A125" t="s">
        <v>0</v>
      </c>
      <c r="B125">
        <v>2</v>
      </c>
      <c r="C125">
        <v>100</v>
      </c>
      <c r="D125">
        <v>1.5</v>
      </c>
      <c r="E125">
        <v>82</v>
      </c>
      <c r="F125">
        <v>1.2</v>
      </c>
      <c r="G125">
        <v>68</v>
      </c>
      <c r="H125">
        <v>1</v>
      </c>
      <c r="I125">
        <v>50</v>
      </c>
      <c r="J125">
        <v>0.8</v>
      </c>
      <c r="K125">
        <v>30</v>
      </c>
      <c r="L125">
        <v>0.5</v>
      </c>
      <c r="M125">
        <v>15</v>
      </c>
    </row>
    <row r="126" spans="1:13" x14ac:dyDescent="0.4">
      <c r="A126" t="s">
        <v>49</v>
      </c>
      <c r="B126">
        <v>1.5</v>
      </c>
      <c r="C126">
        <v>100</v>
      </c>
      <c r="D126">
        <v>1.2</v>
      </c>
      <c r="E126">
        <v>82</v>
      </c>
      <c r="F126">
        <v>1</v>
      </c>
      <c r="G126">
        <v>68</v>
      </c>
      <c r="H126">
        <v>0.8</v>
      </c>
      <c r="I126">
        <v>50</v>
      </c>
      <c r="J126">
        <v>0.6</v>
      </c>
      <c r="K126">
        <v>30</v>
      </c>
      <c r="L126">
        <v>0.4</v>
      </c>
      <c r="M126">
        <v>15</v>
      </c>
    </row>
    <row r="127" spans="1:13" x14ac:dyDescent="0.4">
      <c r="A127" t="s">
        <v>50</v>
      </c>
      <c r="B127">
        <v>2</v>
      </c>
      <c r="C127">
        <v>100</v>
      </c>
      <c r="D127">
        <v>1.5</v>
      </c>
      <c r="E127">
        <v>80</v>
      </c>
      <c r="F127">
        <v>1.2</v>
      </c>
      <c r="G127">
        <v>65</v>
      </c>
      <c r="H127">
        <v>1</v>
      </c>
      <c r="I127">
        <v>48</v>
      </c>
      <c r="J127">
        <v>0.8</v>
      </c>
      <c r="K127">
        <v>28</v>
      </c>
      <c r="L127">
        <v>0.5</v>
      </c>
      <c r="M127">
        <v>12</v>
      </c>
    </row>
    <row r="128" spans="1:13" x14ac:dyDescent="0.4">
      <c r="A128" t="s">
        <v>51</v>
      </c>
      <c r="B128">
        <v>2</v>
      </c>
      <c r="C128">
        <v>100</v>
      </c>
      <c r="D128">
        <v>1.5</v>
      </c>
      <c r="E128">
        <v>80</v>
      </c>
      <c r="F128">
        <v>1.2</v>
      </c>
      <c r="G128">
        <v>65</v>
      </c>
      <c r="H128">
        <v>1</v>
      </c>
      <c r="I128">
        <v>48</v>
      </c>
      <c r="J128">
        <v>0.8</v>
      </c>
      <c r="K128">
        <v>28</v>
      </c>
      <c r="L128">
        <v>0.5</v>
      </c>
      <c r="M128">
        <v>12</v>
      </c>
    </row>
    <row r="129" spans="1:13" x14ac:dyDescent="0.4">
      <c r="A129" t="s">
        <v>52</v>
      </c>
      <c r="B129">
        <v>1.2</v>
      </c>
      <c r="C129">
        <v>100</v>
      </c>
      <c r="D129">
        <v>1</v>
      </c>
      <c r="E129">
        <v>80</v>
      </c>
      <c r="F129">
        <v>0.8</v>
      </c>
      <c r="G129">
        <v>65</v>
      </c>
      <c r="H129">
        <v>0.6</v>
      </c>
      <c r="I129">
        <v>48</v>
      </c>
      <c r="J129">
        <v>0.5</v>
      </c>
      <c r="K129">
        <v>28</v>
      </c>
      <c r="L129">
        <v>0.3</v>
      </c>
      <c r="M129">
        <v>10</v>
      </c>
    </row>
    <row r="130" spans="1:13" x14ac:dyDescent="0.4">
      <c r="A130" t="s">
        <v>53</v>
      </c>
      <c r="B130">
        <v>1.5</v>
      </c>
      <c r="C130">
        <v>100</v>
      </c>
      <c r="D130">
        <v>1.2</v>
      </c>
      <c r="E130">
        <v>80</v>
      </c>
      <c r="F130">
        <v>1</v>
      </c>
      <c r="G130">
        <v>65</v>
      </c>
      <c r="H130">
        <v>0.7</v>
      </c>
      <c r="I130">
        <v>48</v>
      </c>
      <c r="J130">
        <v>0.5</v>
      </c>
      <c r="K130">
        <v>28</v>
      </c>
      <c r="L130">
        <v>0.3</v>
      </c>
      <c r="M130">
        <v>10</v>
      </c>
    </row>
    <row r="132" spans="1:13" x14ac:dyDescent="0.4">
      <c r="A132" t="s">
        <v>61</v>
      </c>
    </row>
    <row r="133" spans="1:13" x14ac:dyDescent="0.4">
      <c r="A133" t="s">
        <v>40</v>
      </c>
      <c r="B133" t="s">
        <v>8</v>
      </c>
      <c r="C133" t="s">
        <v>9</v>
      </c>
      <c r="D133" t="s">
        <v>10</v>
      </c>
      <c r="E133" t="s">
        <v>11</v>
      </c>
      <c r="F133" t="s">
        <v>12</v>
      </c>
      <c r="G133" t="s">
        <v>13</v>
      </c>
      <c r="H133" t="s">
        <v>14</v>
      </c>
      <c r="I133" t="s">
        <v>15</v>
      </c>
      <c r="J133" t="s">
        <v>16</v>
      </c>
      <c r="K133" t="s">
        <v>17</v>
      </c>
      <c r="L133" t="s">
        <v>18</v>
      </c>
      <c r="M133" t="s">
        <v>19</v>
      </c>
    </row>
    <row r="134" spans="1:13" x14ac:dyDescent="0.4">
      <c r="A134" t="s">
        <v>44</v>
      </c>
      <c r="B134">
        <v>20</v>
      </c>
      <c r="C134">
        <v>100</v>
      </c>
      <c r="D134">
        <v>10</v>
      </c>
      <c r="E134">
        <v>85</v>
      </c>
      <c r="F134">
        <v>5</v>
      </c>
      <c r="G134">
        <v>70</v>
      </c>
      <c r="H134">
        <v>3</v>
      </c>
      <c r="I134">
        <v>50</v>
      </c>
      <c r="J134">
        <v>2</v>
      </c>
      <c r="K134">
        <v>32</v>
      </c>
      <c r="L134">
        <v>1</v>
      </c>
      <c r="M134">
        <v>15</v>
      </c>
    </row>
    <row r="135" spans="1:13" x14ac:dyDescent="0.4">
      <c r="A135" t="s">
        <v>45</v>
      </c>
      <c r="B135">
        <v>15</v>
      </c>
      <c r="C135">
        <v>100</v>
      </c>
      <c r="D135">
        <v>8</v>
      </c>
      <c r="E135">
        <v>85</v>
      </c>
      <c r="F135">
        <v>5</v>
      </c>
      <c r="G135">
        <v>70</v>
      </c>
      <c r="H135">
        <v>3</v>
      </c>
      <c r="I135">
        <v>50</v>
      </c>
      <c r="J135">
        <v>2</v>
      </c>
      <c r="K135">
        <v>32</v>
      </c>
      <c r="L135">
        <v>1</v>
      </c>
      <c r="M135">
        <v>15</v>
      </c>
    </row>
    <row r="136" spans="1:13" x14ac:dyDescent="0.4">
      <c r="A136" t="s">
        <v>46</v>
      </c>
      <c r="B136">
        <v>8</v>
      </c>
      <c r="C136">
        <v>100</v>
      </c>
      <c r="D136">
        <v>5</v>
      </c>
      <c r="E136">
        <v>85</v>
      </c>
      <c r="F136">
        <v>3</v>
      </c>
      <c r="G136">
        <v>70</v>
      </c>
      <c r="H136">
        <v>2</v>
      </c>
      <c r="I136">
        <v>50</v>
      </c>
      <c r="J136">
        <v>1.5</v>
      </c>
      <c r="K136">
        <v>32</v>
      </c>
      <c r="L136">
        <v>1</v>
      </c>
      <c r="M136">
        <v>15</v>
      </c>
    </row>
    <row r="137" spans="1:13" x14ac:dyDescent="0.4">
      <c r="A137" t="s">
        <v>47</v>
      </c>
      <c r="B137">
        <v>15</v>
      </c>
      <c r="C137">
        <v>100</v>
      </c>
      <c r="D137">
        <v>8</v>
      </c>
      <c r="E137">
        <v>85</v>
      </c>
      <c r="F137">
        <v>5</v>
      </c>
      <c r="G137">
        <v>70</v>
      </c>
      <c r="H137">
        <v>3</v>
      </c>
      <c r="I137">
        <v>50</v>
      </c>
      <c r="J137">
        <v>2</v>
      </c>
      <c r="K137">
        <v>32</v>
      </c>
      <c r="L137">
        <v>1</v>
      </c>
      <c r="M137">
        <v>15</v>
      </c>
    </row>
    <row r="138" spans="1:13" x14ac:dyDescent="0.4">
      <c r="A138" t="s">
        <v>48</v>
      </c>
      <c r="B138">
        <v>12</v>
      </c>
      <c r="C138">
        <v>100</v>
      </c>
      <c r="D138">
        <v>6</v>
      </c>
      <c r="E138">
        <v>85</v>
      </c>
      <c r="F138">
        <v>4</v>
      </c>
      <c r="G138">
        <v>70</v>
      </c>
      <c r="H138">
        <v>2.5</v>
      </c>
      <c r="I138">
        <v>50</v>
      </c>
      <c r="J138">
        <v>1.5</v>
      </c>
      <c r="K138">
        <v>32</v>
      </c>
      <c r="L138">
        <v>1</v>
      </c>
      <c r="M138">
        <v>15</v>
      </c>
    </row>
    <row r="139" spans="1:13" x14ac:dyDescent="0.4">
      <c r="A139" t="s">
        <v>0</v>
      </c>
      <c r="B139">
        <v>10</v>
      </c>
      <c r="C139">
        <v>100</v>
      </c>
      <c r="D139">
        <v>6</v>
      </c>
      <c r="E139">
        <v>82</v>
      </c>
      <c r="F139">
        <v>3</v>
      </c>
      <c r="G139">
        <v>65</v>
      </c>
      <c r="H139">
        <v>2</v>
      </c>
      <c r="I139">
        <v>48</v>
      </c>
      <c r="J139">
        <v>1.5</v>
      </c>
      <c r="K139">
        <v>30</v>
      </c>
      <c r="L139">
        <v>1</v>
      </c>
      <c r="M139">
        <v>12</v>
      </c>
    </row>
    <row r="140" spans="1:13" x14ac:dyDescent="0.4">
      <c r="A140" t="s">
        <v>49</v>
      </c>
      <c r="B140">
        <v>10</v>
      </c>
      <c r="C140">
        <v>100</v>
      </c>
      <c r="D140">
        <v>6</v>
      </c>
      <c r="E140">
        <v>82</v>
      </c>
      <c r="F140">
        <v>4</v>
      </c>
      <c r="G140">
        <v>68</v>
      </c>
      <c r="H140">
        <v>2.5</v>
      </c>
      <c r="I140">
        <v>50</v>
      </c>
      <c r="J140">
        <v>1.5</v>
      </c>
      <c r="K140">
        <v>30</v>
      </c>
      <c r="L140">
        <v>1</v>
      </c>
      <c r="M140">
        <v>12</v>
      </c>
    </row>
    <row r="141" spans="1:13" x14ac:dyDescent="0.4">
      <c r="A141" t="s">
        <v>50</v>
      </c>
      <c r="B141">
        <v>8</v>
      </c>
      <c r="C141">
        <v>100</v>
      </c>
      <c r="D141">
        <v>5</v>
      </c>
      <c r="E141">
        <v>80</v>
      </c>
      <c r="F141">
        <v>3</v>
      </c>
      <c r="G141">
        <v>62</v>
      </c>
      <c r="H141">
        <v>2</v>
      </c>
      <c r="I141">
        <v>45</v>
      </c>
      <c r="J141">
        <v>1.5</v>
      </c>
      <c r="K141">
        <v>28</v>
      </c>
      <c r="L141">
        <v>1</v>
      </c>
      <c r="M141">
        <v>10</v>
      </c>
    </row>
    <row r="142" spans="1:13" x14ac:dyDescent="0.4">
      <c r="A142" t="s">
        <v>51</v>
      </c>
      <c r="B142">
        <v>8</v>
      </c>
      <c r="C142">
        <v>100</v>
      </c>
      <c r="D142">
        <v>5</v>
      </c>
      <c r="E142">
        <v>80</v>
      </c>
      <c r="F142">
        <v>3</v>
      </c>
      <c r="G142">
        <v>62</v>
      </c>
      <c r="H142">
        <v>2</v>
      </c>
      <c r="I142">
        <v>45</v>
      </c>
      <c r="J142">
        <v>1.5</v>
      </c>
      <c r="K142">
        <v>28</v>
      </c>
      <c r="L142">
        <v>1</v>
      </c>
      <c r="M142">
        <v>10</v>
      </c>
    </row>
    <row r="143" spans="1:13" x14ac:dyDescent="0.4">
      <c r="A143" t="s">
        <v>52</v>
      </c>
      <c r="B143">
        <v>5</v>
      </c>
      <c r="C143">
        <v>100</v>
      </c>
      <c r="D143">
        <v>3.5</v>
      </c>
      <c r="E143">
        <v>80</v>
      </c>
      <c r="F143">
        <v>2.5</v>
      </c>
      <c r="G143">
        <v>65</v>
      </c>
      <c r="H143">
        <v>2</v>
      </c>
      <c r="I143">
        <v>48</v>
      </c>
      <c r="J143">
        <v>1.5</v>
      </c>
      <c r="K143">
        <v>30</v>
      </c>
      <c r="L143">
        <v>1</v>
      </c>
      <c r="M143">
        <v>10</v>
      </c>
    </row>
    <row r="144" spans="1:13" x14ac:dyDescent="0.4">
      <c r="A144" t="s">
        <v>53</v>
      </c>
      <c r="B144">
        <v>5</v>
      </c>
      <c r="C144">
        <v>100</v>
      </c>
      <c r="D144">
        <v>3</v>
      </c>
      <c r="E144">
        <v>80</v>
      </c>
      <c r="F144">
        <v>2</v>
      </c>
      <c r="G144">
        <v>65</v>
      </c>
      <c r="H144">
        <v>1.5</v>
      </c>
      <c r="I144">
        <v>48</v>
      </c>
      <c r="J144">
        <v>1.2</v>
      </c>
      <c r="K144">
        <v>30</v>
      </c>
      <c r="L144">
        <v>0.8</v>
      </c>
      <c r="M144">
        <v>10</v>
      </c>
    </row>
    <row r="146" spans="1:13" x14ac:dyDescent="0.4">
      <c r="A146" t="s">
        <v>62</v>
      </c>
    </row>
    <row r="147" spans="1:13" x14ac:dyDescent="0.4">
      <c r="A147" t="s">
        <v>40</v>
      </c>
      <c r="B147" t="s">
        <v>8</v>
      </c>
      <c r="C147" t="s">
        <v>9</v>
      </c>
      <c r="D147" t="s">
        <v>10</v>
      </c>
      <c r="E147" t="s">
        <v>11</v>
      </c>
      <c r="F147" t="s">
        <v>12</v>
      </c>
      <c r="G147" t="s">
        <v>13</v>
      </c>
      <c r="H147" t="s">
        <v>14</v>
      </c>
      <c r="I147" t="s">
        <v>15</v>
      </c>
      <c r="J147" t="s">
        <v>16</v>
      </c>
      <c r="K147" t="s">
        <v>17</v>
      </c>
      <c r="L147" t="s">
        <v>18</v>
      </c>
      <c r="M147" t="s">
        <v>19</v>
      </c>
    </row>
    <row r="148" spans="1:13" x14ac:dyDescent="0.4">
      <c r="A148" t="s">
        <v>44</v>
      </c>
      <c r="B148">
        <v>0.25</v>
      </c>
      <c r="C148">
        <v>100</v>
      </c>
      <c r="D148">
        <v>0.18</v>
      </c>
      <c r="E148">
        <v>88</v>
      </c>
      <c r="F148">
        <v>0.12</v>
      </c>
      <c r="G148">
        <v>72</v>
      </c>
      <c r="H148">
        <v>7.0000000000000007E-2</v>
      </c>
      <c r="I148">
        <v>55</v>
      </c>
      <c r="J148">
        <v>0.03</v>
      </c>
      <c r="K148">
        <v>35</v>
      </c>
      <c r="L148">
        <v>0</v>
      </c>
      <c r="M148">
        <v>15</v>
      </c>
    </row>
    <row r="149" spans="1:13" x14ac:dyDescent="0.4">
      <c r="A149" t="s">
        <v>45</v>
      </c>
      <c r="B149">
        <v>0.2</v>
      </c>
      <c r="C149">
        <v>100</v>
      </c>
      <c r="D149">
        <v>0.14000000000000001</v>
      </c>
      <c r="E149">
        <v>85</v>
      </c>
      <c r="F149">
        <v>0.08</v>
      </c>
      <c r="G149">
        <v>68</v>
      </c>
      <c r="H149">
        <v>0.04</v>
      </c>
      <c r="I149">
        <v>50</v>
      </c>
      <c r="J149">
        <v>0.02</v>
      </c>
      <c r="K149">
        <v>32</v>
      </c>
      <c r="L149">
        <v>0</v>
      </c>
      <c r="M149">
        <v>15</v>
      </c>
    </row>
    <row r="150" spans="1:13" x14ac:dyDescent="0.4">
      <c r="A150" t="s">
        <v>46</v>
      </c>
      <c r="B150">
        <v>0.15</v>
      </c>
      <c r="C150">
        <v>100</v>
      </c>
      <c r="D150">
        <v>0.1</v>
      </c>
      <c r="E150">
        <v>85</v>
      </c>
      <c r="F150">
        <v>0.06</v>
      </c>
      <c r="G150">
        <v>68</v>
      </c>
      <c r="H150">
        <v>0.03</v>
      </c>
      <c r="I150">
        <v>50</v>
      </c>
      <c r="J150">
        <v>0.01</v>
      </c>
      <c r="K150">
        <v>32</v>
      </c>
      <c r="L150">
        <v>0</v>
      </c>
      <c r="M150">
        <v>15</v>
      </c>
    </row>
    <row r="151" spans="1:13" x14ac:dyDescent="0.4">
      <c r="A151" t="s">
        <v>47</v>
      </c>
      <c r="B151">
        <v>0.12</v>
      </c>
      <c r="C151">
        <v>100</v>
      </c>
      <c r="D151">
        <v>0.08</v>
      </c>
      <c r="E151">
        <v>85</v>
      </c>
      <c r="F151">
        <v>0.05</v>
      </c>
      <c r="G151">
        <v>68</v>
      </c>
      <c r="H151">
        <v>0.03</v>
      </c>
      <c r="I151">
        <v>50</v>
      </c>
      <c r="J151">
        <v>0.01</v>
      </c>
      <c r="K151">
        <v>30</v>
      </c>
      <c r="L151">
        <v>0</v>
      </c>
      <c r="M151">
        <v>12</v>
      </c>
    </row>
    <row r="152" spans="1:13" x14ac:dyDescent="0.4">
      <c r="A152" t="s">
        <v>48</v>
      </c>
      <c r="B152">
        <v>0.18</v>
      </c>
      <c r="C152">
        <v>100</v>
      </c>
      <c r="D152">
        <v>0.12</v>
      </c>
      <c r="E152">
        <v>85</v>
      </c>
      <c r="F152">
        <v>0.08</v>
      </c>
      <c r="G152">
        <v>68</v>
      </c>
      <c r="H152">
        <v>0.04</v>
      </c>
      <c r="I152">
        <v>50</v>
      </c>
      <c r="J152">
        <v>0.02</v>
      </c>
      <c r="K152">
        <v>32</v>
      </c>
      <c r="L152">
        <v>0</v>
      </c>
      <c r="M152">
        <v>15</v>
      </c>
    </row>
    <row r="153" spans="1:13" x14ac:dyDescent="0.4">
      <c r="A153" t="s">
        <v>0</v>
      </c>
      <c r="B153">
        <v>0.1</v>
      </c>
      <c r="C153">
        <v>100</v>
      </c>
      <c r="D153">
        <v>7.0000000000000007E-2</v>
      </c>
      <c r="E153">
        <v>82</v>
      </c>
      <c r="F153">
        <v>0.05</v>
      </c>
      <c r="G153">
        <v>65</v>
      </c>
      <c r="H153">
        <v>0.03</v>
      </c>
      <c r="I153">
        <v>48</v>
      </c>
      <c r="J153">
        <v>0.01</v>
      </c>
      <c r="K153">
        <v>28</v>
      </c>
      <c r="L153">
        <v>0</v>
      </c>
      <c r="M153">
        <v>10</v>
      </c>
    </row>
    <row r="154" spans="1:13" x14ac:dyDescent="0.4">
      <c r="A154" t="s">
        <v>49</v>
      </c>
      <c r="B154">
        <v>0.08</v>
      </c>
      <c r="C154">
        <v>100</v>
      </c>
      <c r="D154">
        <v>0.06</v>
      </c>
      <c r="E154">
        <v>82</v>
      </c>
      <c r="F154">
        <v>0.04</v>
      </c>
      <c r="G154">
        <v>65</v>
      </c>
      <c r="H154">
        <v>0.02</v>
      </c>
      <c r="I154">
        <v>48</v>
      </c>
      <c r="J154">
        <v>0.01</v>
      </c>
      <c r="K154">
        <v>28</v>
      </c>
      <c r="L154">
        <v>0</v>
      </c>
      <c r="M154">
        <v>10</v>
      </c>
    </row>
    <row r="155" spans="1:13" x14ac:dyDescent="0.4">
      <c r="A155" t="s">
        <v>50</v>
      </c>
      <c r="B155">
        <v>0.1</v>
      </c>
      <c r="C155">
        <v>100</v>
      </c>
      <c r="D155">
        <v>0.06</v>
      </c>
      <c r="E155">
        <v>80</v>
      </c>
      <c r="F155">
        <v>0.04</v>
      </c>
      <c r="G155">
        <v>62</v>
      </c>
      <c r="H155">
        <v>0.02</v>
      </c>
      <c r="I155">
        <v>45</v>
      </c>
      <c r="J155">
        <v>0.01</v>
      </c>
      <c r="K155">
        <v>25</v>
      </c>
      <c r="L155">
        <v>0</v>
      </c>
      <c r="M155">
        <v>8</v>
      </c>
    </row>
    <row r="156" spans="1:13" x14ac:dyDescent="0.4">
      <c r="A156" t="s">
        <v>51</v>
      </c>
      <c r="B156">
        <v>0.08</v>
      </c>
      <c r="C156">
        <v>100</v>
      </c>
      <c r="D156">
        <v>0.05</v>
      </c>
      <c r="E156">
        <v>80</v>
      </c>
      <c r="F156">
        <v>0.03</v>
      </c>
      <c r="G156">
        <v>62</v>
      </c>
      <c r="H156">
        <v>0.02</v>
      </c>
      <c r="I156">
        <v>45</v>
      </c>
      <c r="J156">
        <v>0.01</v>
      </c>
      <c r="K156">
        <v>25</v>
      </c>
      <c r="L156">
        <v>0</v>
      </c>
      <c r="M156">
        <v>8</v>
      </c>
    </row>
    <row r="157" spans="1:13" x14ac:dyDescent="0.4">
      <c r="A157" t="s">
        <v>52</v>
      </c>
      <c r="B157">
        <v>0.08</v>
      </c>
      <c r="C157">
        <v>100</v>
      </c>
      <c r="D157">
        <v>0.05</v>
      </c>
      <c r="E157">
        <v>78</v>
      </c>
      <c r="F157">
        <v>0.03</v>
      </c>
      <c r="G157">
        <v>60</v>
      </c>
      <c r="H157">
        <v>0.02</v>
      </c>
      <c r="I157">
        <v>42</v>
      </c>
      <c r="J157">
        <v>0.01</v>
      </c>
      <c r="K157">
        <v>25</v>
      </c>
      <c r="L157">
        <v>0</v>
      </c>
      <c r="M157">
        <v>8</v>
      </c>
    </row>
    <row r="158" spans="1:13" x14ac:dyDescent="0.4">
      <c r="A158" t="s">
        <v>53</v>
      </c>
      <c r="B158">
        <v>0.1</v>
      </c>
      <c r="C158">
        <v>100</v>
      </c>
      <c r="D158">
        <v>0.06</v>
      </c>
      <c r="E158">
        <v>78</v>
      </c>
      <c r="F158">
        <v>0.04</v>
      </c>
      <c r="G158">
        <v>62</v>
      </c>
      <c r="H158">
        <v>0.02</v>
      </c>
      <c r="I158">
        <v>45</v>
      </c>
      <c r="J158">
        <v>0.01</v>
      </c>
      <c r="K158">
        <v>25</v>
      </c>
      <c r="L158">
        <v>0</v>
      </c>
      <c r="M158">
        <v>8</v>
      </c>
    </row>
    <row r="160" spans="1:13" x14ac:dyDescent="0.4">
      <c r="A160" t="s">
        <v>63</v>
      </c>
    </row>
    <row r="161" spans="1:13" x14ac:dyDescent="0.4">
      <c r="A161" t="s">
        <v>40</v>
      </c>
      <c r="B161" t="s">
        <v>8</v>
      </c>
      <c r="C161" t="s">
        <v>9</v>
      </c>
      <c r="D161" t="s">
        <v>10</v>
      </c>
      <c r="E161" t="s">
        <v>11</v>
      </c>
      <c r="F161" t="s">
        <v>12</v>
      </c>
      <c r="G161" t="s">
        <v>13</v>
      </c>
      <c r="H161" t="s">
        <v>14</v>
      </c>
      <c r="I161" t="s">
        <v>15</v>
      </c>
      <c r="J161" t="s">
        <v>16</v>
      </c>
      <c r="K161" t="s">
        <v>17</v>
      </c>
      <c r="L161" t="s">
        <v>18</v>
      </c>
      <c r="M161" t="s">
        <v>19</v>
      </c>
    </row>
    <row r="162" spans="1:13" x14ac:dyDescent="0.4">
      <c r="A162" t="s">
        <v>44</v>
      </c>
      <c r="B162">
        <v>1.3</v>
      </c>
      <c r="C162">
        <v>100</v>
      </c>
      <c r="D162">
        <v>1.1000000000000001</v>
      </c>
      <c r="E162">
        <v>88</v>
      </c>
      <c r="F162">
        <v>0.9</v>
      </c>
      <c r="G162">
        <v>72</v>
      </c>
      <c r="H162">
        <v>0.7</v>
      </c>
      <c r="I162">
        <v>55</v>
      </c>
      <c r="J162">
        <v>0.5</v>
      </c>
      <c r="K162">
        <v>35</v>
      </c>
      <c r="L162">
        <v>0.2</v>
      </c>
      <c r="M162">
        <v>15</v>
      </c>
    </row>
    <row r="163" spans="1:13" x14ac:dyDescent="0.4">
      <c r="A163" t="s">
        <v>45</v>
      </c>
      <c r="B163">
        <v>1.2</v>
      </c>
      <c r="C163">
        <v>100</v>
      </c>
      <c r="D163">
        <v>1</v>
      </c>
      <c r="E163">
        <v>85</v>
      </c>
      <c r="F163">
        <v>0.8</v>
      </c>
      <c r="G163">
        <v>70</v>
      </c>
      <c r="H163">
        <v>0.6</v>
      </c>
      <c r="I163">
        <v>52</v>
      </c>
      <c r="J163">
        <v>0.4</v>
      </c>
      <c r="K163">
        <v>32</v>
      </c>
      <c r="L163">
        <v>0.1</v>
      </c>
      <c r="M163">
        <v>12</v>
      </c>
    </row>
    <row r="164" spans="1:13" x14ac:dyDescent="0.4">
      <c r="A164" t="s">
        <v>46</v>
      </c>
      <c r="B164">
        <v>1.2</v>
      </c>
      <c r="C164">
        <v>100</v>
      </c>
      <c r="D164">
        <v>1</v>
      </c>
      <c r="E164">
        <v>85</v>
      </c>
      <c r="F164">
        <v>0.8</v>
      </c>
      <c r="G164">
        <v>70</v>
      </c>
      <c r="H164">
        <v>0.6</v>
      </c>
      <c r="I164">
        <v>52</v>
      </c>
      <c r="J164">
        <v>0.4</v>
      </c>
      <c r="K164">
        <v>32</v>
      </c>
      <c r="L164">
        <v>0.1</v>
      </c>
      <c r="M164">
        <v>12</v>
      </c>
    </row>
    <row r="165" spans="1:13" x14ac:dyDescent="0.4">
      <c r="A165" t="s">
        <v>47</v>
      </c>
      <c r="B165">
        <v>1.2</v>
      </c>
      <c r="C165">
        <v>100</v>
      </c>
      <c r="D165">
        <v>1</v>
      </c>
      <c r="E165">
        <v>85</v>
      </c>
      <c r="F165">
        <v>0.8</v>
      </c>
      <c r="G165">
        <v>70</v>
      </c>
      <c r="H165">
        <v>0.6</v>
      </c>
      <c r="I165">
        <v>52</v>
      </c>
      <c r="J165">
        <v>0.4</v>
      </c>
      <c r="K165">
        <v>32</v>
      </c>
      <c r="L165">
        <v>0.1</v>
      </c>
      <c r="M165">
        <v>12</v>
      </c>
    </row>
    <row r="166" spans="1:13" x14ac:dyDescent="0.4">
      <c r="A166" t="s">
        <v>48</v>
      </c>
      <c r="B166">
        <v>1.2</v>
      </c>
      <c r="C166">
        <v>100</v>
      </c>
      <c r="D166">
        <v>1</v>
      </c>
      <c r="E166">
        <v>85</v>
      </c>
      <c r="F166">
        <v>0.8</v>
      </c>
      <c r="G166">
        <v>70</v>
      </c>
      <c r="H166">
        <v>0.6</v>
      </c>
      <c r="I166">
        <v>52</v>
      </c>
      <c r="J166">
        <v>0.4</v>
      </c>
      <c r="K166">
        <v>32</v>
      </c>
      <c r="L166">
        <v>0.1</v>
      </c>
      <c r="M166">
        <v>12</v>
      </c>
    </row>
    <row r="167" spans="1:13" x14ac:dyDescent="0.4">
      <c r="A167" t="s">
        <v>0</v>
      </c>
      <c r="B167">
        <v>1.1000000000000001</v>
      </c>
      <c r="C167">
        <v>100</v>
      </c>
      <c r="D167">
        <v>0.9</v>
      </c>
      <c r="E167">
        <v>82</v>
      </c>
      <c r="F167">
        <v>0.7</v>
      </c>
      <c r="G167">
        <v>68</v>
      </c>
      <c r="H167">
        <v>0.5</v>
      </c>
      <c r="I167">
        <v>50</v>
      </c>
      <c r="J167">
        <v>0.3</v>
      </c>
      <c r="K167">
        <v>30</v>
      </c>
      <c r="L167">
        <v>0.1</v>
      </c>
      <c r="M167">
        <v>10</v>
      </c>
    </row>
    <row r="168" spans="1:13" x14ac:dyDescent="0.4">
      <c r="A168" t="s">
        <v>49</v>
      </c>
      <c r="B168">
        <v>1.1000000000000001</v>
      </c>
      <c r="C168">
        <v>100</v>
      </c>
      <c r="D168">
        <v>0.9</v>
      </c>
      <c r="E168">
        <v>82</v>
      </c>
      <c r="F168">
        <v>0.7</v>
      </c>
      <c r="G168">
        <v>68</v>
      </c>
      <c r="H168">
        <v>0.5</v>
      </c>
      <c r="I168">
        <v>50</v>
      </c>
      <c r="J168">
        <v>0.3</v>
      </c>
      <c r="K168">
        <v>30</v>
      </c>
      <c r="L168">
        <v>0.1</v>
      </c>
      <c r="M168">
        <v>10</v>
      </c>
    </row>
    <row r="169" spans="1:13" x14ac:dyDescent="0.4">
      <c r="A169" t="s">
        <v>50</v>
      </c>
      <c r="B169">
        <v>1</v>
      </c>
      <c r="C169">
        <v>100</v>
      </c>
      <c r="D169">
        <v>0.8</v>
      </c>
      <c r="E169">
        <v>80</v>
      </c>
      <c r="F169">
        <v>0.6</v>
      </c>
      <c r="G169">
        <v>62</v>
      </c>
      <c r="H169">
        <v>0.4</v>
      </c>
      <c r="I169">
        <v>45</v>
      </c>
      <c r="J169">
        <v>0.2</v>
      </c>
      <c r="K169">
        <v>25</v>
      </c>
      <c r="L169">
        <v>0</v>
      </c>
      <c r="M169">
        <v>8</v>
      </c>
    </row>
    <row r="170" spans="1:13" x14ac:dyDescent="0.4">
      <c r="A170" t="s">
        <v>51</v>
      </c>
      <c r="B170">
        <v>1</v>
      </c>
      <c r="C170">
        <v>100</v>
      </c>
      <c r="D170">
        <v>0.8</v>
      </c>
      <c r="E170">
        <v>80</v>
      </c>
      <c r="F170">
        <v>0.6</v>
      </c>
      <c r="G170">
        <v>62</v>
      </c>
      <c r="H170">
        <v>0.4</v>
      </c>
      <c r="I170">
        <v>45</v>
      </c>
      <c r="J170">
        <v>0.2</v>
      </c>
      <c r="K170">
        <v>25</v>
      </c>
      <c r="L170">
        <v>0</v>
      </c>
      <c r="M170">
        <v>8</v>
      </c>
    </row>
    <row r="171" spans="1:13" x14ac:dyDescent="0.4">
      <c r="A171" t="s">
        <v>52</v>
      </c>
      <c r="B171">
        <v>0.8</v>
      </c>
      <c r="C171">
        <v>100</v>
      </c>
      <c r="D171">
        <v>0.6</v>
      </c>
      <c r="E171">
        <v>78</v>
      </c>
      <c r="F171">
        <v>0.5</v>
      </c>
      <c r="G171">
        <v>60</v>
      </c>
      <c r="H171">
        <v>0.3</v>
      </c>
      <c r="I171">
        <v>42</v>
      </c>
      <c r="J171">
        <v>0.2</v>
      </c>
      <c r="K171">
        <v>25</v>
      </c>
      <c r="L171">
        <v>0</v>
      </c>
      <c r="M171">
        <v>8</v>
      </c>
    </row>
    <row r="172" spans="1:13" x14ac:dyDescent="0.4">
      <c r="A172" t="s">
        <v>53</v>
      </c>
      <c r="B172">
        <v>0.8</v>
      </c>
      <c r="C172">
        <v>100</v>
      </c>
      <c r="D172">
        <v>0.6</v>
      </c>
      <c r="E172">
        <v>78</v>
      </c>
      <c r="F172">
        <v>0.4</v>
      </c>
      <c r="G172">
        <v>60</v>
      </c>
      <c r="H172">
        <v>0.3</v>
      </c>
      <c r="I172">
        <v>42</v>
      </c>
      <c r="J172">
        <v>0.1</v>
      </c>
      <c r="K172">
        <v>25</v>
      </c>
      <c r="L172">
        <v>0</v>
      </c>
      <c r="M172">
        <v>8</v>
      </c>
    </row>
    <row r="174" spans="1:13" x14ac:dyDescent="0.4">
      <c r="A174" t="s">
        <v>96</v>
      </c>
    </row>
    <row r="175" spans="1:13" x14ac:dyDescent="0.4">
      <c r="A175" t="s">
        <v>40</v>
      </c>
      <c r="B175" t="s">
        <v>20</v>
      </c>
      <c r="C175" t="s">
        <v>9</v>
      </c>
      <c r="D175" t="s">
        <v>21</v>
      </c>
      <c r="E175" t="s">
        <v>11</v>
      </c>
      <c r="F175" t="s">
        <v>22</v>
      </c>
      <c r="G175" t="s">
        <v>13</v>
      </c>
      <c r="H175" t="s">
        <v>23</v>
      </c>
      <c r="I175" t="s">
        <v>15</v>
      </c>
      <c r="J175" t="s">
        <v>24</v>
      </c>
      <c r="K175" t="s">
        <v>17</v>
      </c>
      <c r="L175" t="s">
        <v>25</v>
      </c>
      <c r="M175" t="s">
        <v>19</v>
      </c>
    </row>
    <row r="176" spans="1:13" x14ac:dyDescent="0.4">
      <c r="A176" t="s">
        <v>44</v>
      </c>
      <c r="B176">
        <v>0.03</v>
      </c>
      <c r="C176">
        <v>100</v>
      </c>
      <c r="D176">
        <v>0.05</v>
      </c>
      <c r="E176">
        <v>85</v>
      </c>
      <c r="F176">
        <v>0.08</v>
      </c>
      <c r="G176">
        <v>70</v>
      </c>
      <c r="H176">
        <v>0.12</v>
      </c>
      <c r="I176">
        <v>52</v>
      </c>
      <c r="J176">
        <v>0.18</v>
      </c>
      <c r="K176">
        <v>32</v>
      </c>
      <c r="L176">
        <v>0.25</v>
      </c>
      <c r="M176">
        <v>15</v>
      </c>
    </row>
    <row r="177" spans="1:13" x14ac:dyDescent="0.4">
      <c r="A177" t="s">
        <v>45</v>
      </c>
      <c r="B177">
        <v>0.03</v>
      </c>
      <c r="C177">
        <v>100</v>
      </c>
      <c r="D177">
        <v>0.06</v>
      </c>
      <c r="E177">
        <v>85</v>
      </c>
      <c r="F177">
        <v>0.1</v>
      </c>
      <c r="G177">
        <v>70</v>
      </c>
      <c r="H177">
        <v>0.15</v>
      </c>
      <c r="I177">
        <v>52</v>
      </c>
      <c r="J177">
        <v>0.2</v>
      </c>
      <c r="K177">
        <v>32</v>
      </c>
      <c r="L177">
        <v>0.3</v>
      </c>
      <c r="M177">
        <v>15</v>
      </c>
    </row>
    <row r="178" spans="1:13" x14ac:dyDescent="0.4">
      <c r="A178" t="s">
        <v>46</v>
      </c>
      <c r="B178">
        <v>0.02</v>
      </c>
      <c r="C178">
        <v>100</v>
      </c>
      <c r="D178">
        <v>0.04</v>
      </c>
      <c r="E178">
        <v>85</v>
      </c>
      <c r="F178">
        <v>0.06</v>
      </c>
      <c r="G178">
        <v>70</v>
      </c>
      <c r="H178">
        <v>0.1</v>
      </c>
      <c r="I178">
        <v>52</v>
      </c>
      <c r="J178">
        <v>0.15</v>
      </c>
      <c r="K178">
        <v>32</v>
      </c>
      <c r="L178">
        <v>0.2</v>
      </c>
      <c r="M178">
        <v>15</v>
      </c>
    </row>
    <row r="179" spans="1:13" x14ac:dyDescent="0.4">
      <c r="A179" t="s">
        <v>47</v>
      </c>
      <c r="B179">
        <v>0.03</v>
      </c>
      <c r="C179">
        <v>100</v>
      </c>
      <c r="D179">
        <v>0.06</v>
      </c>
      <c r="E179">
        <v>85</v>
      </c>
      <c r="F179">
        <v>0.1</v>
      </c>
      <c r="G179">
        <v>70</v>
      </c>
      <c r="H179">
        <v>0.15</v>
      </c>
      <c r="I179">
        <v>52</v>
      </c>
      <c r="J179">
        <v>0.2</v>
      </c>
      <c r="K179">
        <v>32</v>
      </c>
      <c r="L179">
        <v>0.3</v>
      </c>
      <c r="M179">
        <v>15</v>
      </c>
    </row>
    <row r="180" spans="1:13" x14ac:dyDescent="0.4">
      <c r="A180" t="s">
        <v>48</v>
      </c>
      <c r="B180">
        <v>0.05</v>
      </c>
      <c r="C180">
        <v>100</v>
      </c>
      <c r="D180">
        <v>0.08</v>
      </c>
      <c r="E180">
        <v>85</v>
      </c>
      <c r="F180">
        <v>0.12</v>
      </c>
      <c r="G180">
        <v>70</v>
      </c>
      <c r="H180">
        <v>0.18</v>
      </c>
      <c r="I180">
        <v>52</v>
      </c>
      <c r="J180">
        <v>0.25</v>
      </c>
      <c r="K180">
        <v>32</v>
      </c>
      <c r="L180">
        <v>0.35</v>
      </c>
      <c r="M180">
        <v>15</v>
      </c>
    </row>
    <row r="181" spans="1:13" x14ac:dyDescent="0.4">
      <c r="A181" t="s">
        <v>0</v>
      </c>
      <c r="B181">
        <v>0.03</v>
      </c>
      <c r="C181">
        <v>100</v>
      </c>
      <c r="D181">
        <v>0.06</v>
      </c>
      <c r="E181">
        <v>82</v>
      </c>
      <c r="F181">
        <v>0.1</v>
      </c>
      <c r="G181">
        <v>65</v>
      </c>
      <c r="H181">
        <v>0.15</v>
      </c>
      <c r="I181">
        <v>48</v>
      </c>
      <c r="J181">
        <v>0.22</v>
      </c>
      <c r="K181">
        <v>28</v>
      </c>
      <c r="L181">
        <v>0.3</v>
      </c>
      <c r="M181">
        <v>10</v>
      </c>
    </row>
    <row r="182" spans="1:13" x14ac:dyDescent="0.4">
      <c r="A182" t="s">
        <v>49</v>
      </c>
      <c r="B182">
        <v>0.03</v>
      </c>
      <c r="C182">
        <v>100</v>
      </c>
      <c r="D182">
        <v>0.05</v>
      </c>
      <c r="E182">
        <v>82</v>
      </c>
      <c r="F182">
        <v>0.08</v>
      </c>
      <c r="G182">
        <v>65</v>
      </c>
      <c r="H182">
        <v>0.12</v>
      </c>
      <c r="I182">
        <v>48</v>
      </c>
      <c r="J182">
        <v>0.18</v>
      </c>
      <c r="K182">
        <v>28</v>
      </c>
      <c r="L182">
        <v>0.25</v>
      </c>
      <c r="M182">
        <v>10</v>
      </c>
    </row>
    <row r="183" spans="1:13" x14ac:dyDescent="0.4">
      <c r="A183" t="s">
        <v>50</v>
      </c>
      <c r="B183">
        <v>0.08</v>
      </c>
      <c r="C183">
        <v>100</v>
      </c>
      <c r="D183">
        <v>0.12</v>
      </c>
      <c r="E183">
        <v>80</v>
      </c>
      <c r="F183">
        <v>0.18</v>
      </c>
      <c r="G183">
        <v>62</v>
      </c>
      <c r="H183">
        <v>0.25</v>
      </c>
      <c r="I183">
        <v>45</v>
      </c>
      <c r="J183">
        <v>0.35</v>
      </c>
      <c r="K183">
        <v>25</v>
      </c>
      <c r="L183">
        <v>0.5</v>
      </c>
      <c r="M183">
        <v>8</v>
      </c>
    </row>
    <row r="184" spans="1:13" x14ac:dyDescent="0.4">
      <c r="A184" t="s">
        <v>51</v>
      </c>
      <c r="B184">
        <v>0.05</v>
      </c>
      <c r="C184">
        <v>100</v>
      </c>
      <c r="D184">
        <v>0.08</v>
      </c>
      <c r="E184">
        <v>80</v>
      </c>
      <c r="F184">
        <v>0.12</v>
      </c>
      <c r="G184">
        <v>62</v>
      </c>
      <c r="H184">
        <v>0.18</v>
      </c>
      <c r="I184">
        <v>45</v>
      </c>
      <c r="J184">
        <v>0.25</v>
      </c>
      <c r="K184">
        <v>25</v>
      </c>
      <c r="L184">
        <v>0.35</v>
      </c>
      <c r="M184">
        <v>8</v>
      </c>
    </row>
    <row r="185" spans="1:13" x14ac:dyDescent="0.4">
      <c r="A185" t="s">
        <v>52</v>
      </c>
      <c r="B185">
        <v>0.1</v>
      </c>
      <c r="C185">
        <v>100</v>
      </c>
      <c r="D185">
        <v>0.15</v>
      </c>
      <c r="E185">
        <v>78</v>
      </c>
      <c r="F185">
        <v>0.22</v>
      </c>
      <c r="G185">
        <v>60</v>
      </c>
      <c r="H185">
        <v>0.3</v>
      </c>
      <c r="I185">
        <v>42</v>
      </c>
      <c r="J185">
        <v>0.4</v>
      </c>
      <c r="K185">
        <v>25</v>
      </c>
      <c r="L185">
        <v>0.55000000000000004</v>
      </c>
      <c r="M185">
        <v>8</v>
      </c>
    </row>
    <row r="186" spans="1:13" x14ac:dyDescent="0.4">
      <c r="A186" t="s">
        <v>53</v>
      </c>
      <c r="B186">
        <v>0.05</v>
      </c>
      <c r="C186">
        <v>100</v>
      </c>
      <c r="D186">
        <v>0.1</v>
      </c>
      <c r="E186">
        <v>78</v>
      </c>
      <c r="F186">
        <v>0.15</v>
      </c>
      <c r="G186">
        <v>62</v>
      </c>
      <c r="H186">
        <v>0.22</v>
      </c>
      <c r="I186">
        <v>45</v>
      </c>
      <c r="J186">
        <v>0.3</v>
      </c>
      <c r="K186">
        <v>28</v>
      </c>
      <c r="L186">
        <v>0.4</v>
      </c>
      <c r="M186">
        <v>10</v>
      </c>
    </row>
    <row r="188" spans="1:13" x14ac:dyDescent="0.4">
      <c r="A188" t="s">
        <v>97</v>
      </c>
    </row>
    <row r="189" spans="1:13" x14ac:dyDescent="0.4">
      <c r="A189" t="s">
        <v>40</v>
      </c>
      <c r="B189" t="s">
        <v>20</v>
      </c>
      <c r="C189" t="s">
        <v>9</v>
      </c>
      <c r="D189" t="s">
        <v>21</v>
      </c>
      <c r="E189" t="s">
        <v>11</v>
      </c>
      <c r="F189" t="s">
        <v>22</v>
      </c>
      <c r="G189" t="s">
        <v>13</v>
      </c>
      <c r="H189" t="s">
        <v>23</v>
      </c>
      <c r="I189" t="s">
        <v>15</v>
      </c>
      <c r="J189" t="s">
        <v>24</v>
      </c>
      <c r="K189" t="s">
        <v>17</v>
      </c>
      <c r="L189" t="s">
        <v>25</v>
      </c>
      <c r="M189" t="s">
        <v>19</v>
      </c>
    </row>
    <row r="190" spans="1:13" x14ac:dyDescent="0.4">
      <c r="A190" t="s">
        <v>44</v>
      </c>
      <c r="B190">
        <v>15</v>
      </c>
      <c r="C190">
        <v>100</v>
      </c>
      <c r="D190">
        <v>20</v>
      </c>
      <c r="E190">
        <v>82</v>
      </c>
      <c r="F190">
        <v>25</v>
      </c>
      <c r="G190">
        <v>65</v>
      </c>
      <c r="H190">
        <v>32</v>
      </c>
      <c r="I190">
        <v>48</v>
      </c>
      <c r="J190">
        <v>40</v>
      </c>
      <c r="K190">
        <v>30</v>
      </c>
      <c r="L190">
        <v>55</v>
      </c>
      <c r="M190">
        <v>12</v>
      </c>
    </row>
    <row r="191" spans="1:13" x14ac:dyDescent="0.4">
      <c r="A191" t="s">
        <v>45</v>
      </c>
      <c r="B191">
        <v>14</v>
      </c>
      <c r="C191">
        <v>100</v>
      </c>
      <c r="D191">
        <v>18</v>
      </c>
      <c r="E191">
        <v>82</v>
      </c>
      <c r="F191">
        <v>24</v>
      </c>
      <c r="G191">
        <v>65</v>
      </c>
      <c r="H191">
        <v>30</v>
      </c>
      <c r="I191">
        <v>48</v>
      </c>
      <c r="J191">
        <v>40</v>
      </c>
      <c r="K191">
        <v>30</v>
      </c>
      <c r="L191">
        <v>55</v>
      </c>
      <c r="M191">
        <v>12</v>
      </c>
    </row>
    <row r="192" spans="1:13" x14ac:dyDescent="0.4">
      <c r="A192" t="s">
        <v>46</v>
      </c>
      <c r="B192">
        <v>10</v>
      </c>
      <c r="C192">
        <v>100</v>
      </c>
      <c r="D192">
        <v>13</v>
      </c>
      <c r="E192">
        <v>85</v>
      </c>
      <c r="F192">
        <v>16</v>
      </c>
      <c r="G192">
        <v>70</v>
      </c>
      <c r="H192">
        <v>20</v>
      </c>
      <c r="I192">
        <v>52</v>
      </c>
      <c r="J192">
        <v>25</v>
      </c>
      <c r="K192">
        <v>32</v>
      </c>
      <c r="L192">
        <v>35</v>
      </c>
      <c r="M192">
        <v>12</v>
      </c>
    </row>
    <row r="193" spans="1:13" x14ac:dyDescent="0.4">
      <c r="A193" t="s">
        <v>47</v>
      </c>
      <c r="B193">
        <v>12</v>
      </c>
      <c r="C193">
        <v>100</v>
      </c>
      <c r="D193">
        <v>16</v>
      </c>
      <c r="E193">
        <v>82</v>
      </c>
      <c r="F193">
        <v>22</v>
      </c>
      <c r="G193">
        <v>65</v>
      </c>
      <c r="H193">
        <v>28</v>
      </c>
      <c r="I193">
        <v>48</v>
      </c>
      <c r="J193">
        <v>36</v>
      </c>
      <c r="K193">
        <v>30</v>
      </c>
      <c r="L193">
        <v>50</v>
      </c>
      <c r="M193">
        <v>12</v>
      </c>
    </row>
    <row r="194" spans="1:13" x14ac:dyDescent="0.4">
      <c r="A194" t="s">
        <v>48</v>
      </c>
      <c r="B194">
        <v>12</v>
      </c>
      <c r="C194">
        <v>100</v>
      </c>
      <c r="D194">
        <v>16</v>
      </c>
      <c r="E194">
        <v>82</v>
      </c>
      <c r="F194">
        <v>22</v>
      </c>
      <c r="G194">
        <v>65</v>
      </c>
      <c r="H194">
        <v>28</v>
      </c>
      <c r="I194">
        <v>48</v>
      </c>
      <c r="J194">
        <v>36</v>
      </c>
      <c r="K194">
        <v>30</v>
      </c>
      <c r="L194">
        <v>50</v>
      </c>
      <c r="M194">
        <v>12</v>
      </c>
    </row>
    <row r="195" spans="1:13" x14ac:dyDescent="0.4">
      <c r="A195" t="s">
        <v>0</v>
      </c>
      <c r="B195">
        <v>12</v>
      </c>
      <c r="C195">
        <v>100</v>
      </c>
      <c r="D195">
        <v>16</v>
      </c>
      <c r="E195">
        <v>82</v>
      </c>
      <c r="F195">
        <v>20</v>
      </c>
      <c r="G195">
        <v>65</v>
      </c>
      <c r="H195">
        <v>26</v>
      </c>
      <c r="I195">
        <v>48</v>
      </c>
      <c r="J195">
        <v>32</v>
      </c>
      <c r="K195">
        <v>28</v>
      </c>
      <c r="L195">
        <v>45</v>
      </c>
      <c r="M195">
        <v>10</v>
      </c>
    </row>
    <row r="196" spans="1:13" x14ac:dyDescent="0.4">
      <c r="A196" t="s">
        <v>49</v>
      </c>
      <c r="B196">
        <v>14</v>
      </c>
      <c r="C196">
        <v>100</v>
      </c>
      <c r="D196">
        <v>18</v>
      </c>
      <c r="E196">
        <v>82</v>
      </c>
      <c r="F196">
        <v>22</v>
      </c>
      <c r="G196">
        <v>65</v>
      </c>
      <c r="H196">
        <v>28</v>
      </c>
      <c r="I196">
        <v>48</v>
      </c>
      <c r="J196">
        <v>35</v>
      </c>
      <c r="K196">
        <v>28</v>
      </c>
      <c r="L196">
        <v>45</v>
      </c>
      <c r="M196">
        <v>10</v>
      </c>
    </row>
    <row r="197" spans="1:13" x14ac:dyDescent="0.4">
      <c r="A197" t="s">
        <v>50</v>
      </c>
      <c r="B197">
        <v>8</v>
      </c>
      <c r="C197">
        <v>100</v>
      </c>
      <c r="D197">
        <v>10</v>
      </c>
      <c r="E197">
        <v>82</v>
      </c>
      <c r="F197">
        <v>14</v>
      </c>
      <c r="G197">
        <v>65</v>
      </c>
      <c r="H197">
        <v>18</v>
      </c>
      <c r="I197">
        <v>48</v>
      </c>
      <c r="J197">
        <v>24</v>
      </c>
      <c r="K197">
        <v>28</v>
      </c>
      <c r="L197">
        <v>35</v>
      </c>
      <c r="M197">
        <v>8</v>
      </c>
    </row>
    <row r="198" spans="1:13" x14ac:dyDescent="0.4">
      <c r="A198" t="s">
        <v>51</v>
      </c>
      <c r="B198">
        <v>10</v>
      </c>
      <c r="C198">
        <v>100</v>
      </c>
      <c r="D198">
        <v>13</v>
      </c>
      <c r="E198">
        <v>82</v>
      </c>
      <c r="F198">
        <v>16</v>
      </c>
      <c r="G198">
        <v>65</v>
      </c>
      <c r="H198">
        <v>22</v>
      </c>
      <c r="I198">
        <v>48</v>
      </c>
      <c r="J198">
        <v>28</v>
      </c>
      <c r="K198">
        <v>28</v>
      </c>
      <c r="L198">
        <v>38</v>
      </c>
      <c r="M198">
        <v>8</v>
      </c>
    </row>
    <row r="199" spans="1:13" x14ac:dyDescent="0.4">
      <c r="A199" t="s">
        <v>52</v>
      </c>
      <c r="B199">
        <v>12</v>
      </c>
      <c r="C199">
        <v>100</v>
      </c>
      <c r="D199">
        <v>15</v>
      </c>
      <c r="E199">
        <v>80</v>
      </c>
      <c r="F199">
        <v>18</v>
      </c>
      <c r="G199">
        <v>62</v>
      </c>
      <c r="H199">
        <v>22</v>
      </c>
      <c r="I199">
        <v>45</v>
      </c>
      <c r="J199">
        <v>28</v>
      </c>
      <c r="K199">
        <v>25</v>
      </c>
      <c r="L199">
        <v>38</v>
      </c>
      <c r="M199">
        <v>8</v>
      </c>
    </row>
    <row r="200" spans="1:13" x14ac:dyDescent="0.4">
      <c r="A200" t="s">
        <v>53</v>
      </c>
      <c r="B200">
        <v>12</v>
      </c>
      <c r="C200">
        <v>100</v>
      </c>
      <c r="D200">
        <v>16</v>
      </c>
      <c r="E200">
        <v>80</v>
      </c>
      <c r="F200">
        <v>20</v>
      </c>
      <c r="G200">
        <v>62</v>
      </c>
      <c r="H200">
        <v>28</v>
      </c>
      <c r="I200">
        <v>45</v>
      </c>
      <c r="J200">
        <v>35</v>
      </c>
      <c r="K200">
        <v>25</v>
      </c>
      <c r="L200">
        <v>45</v>
      </c>
      <c r="M200">
        <v>8</v>
      </c>
    </row>
    <row r="202" spans="1:13" x14ac:dyDescent="0.4">
      <c r="A202" t="s">
        <v>98</v>
      </c>
    </row>
    <row r="203" spans="1:13" x14ac:dyDescent="0.4">
      <c r="A203" t="s">
        <v>40</v>
      </c>
      <c r="B203" t="s">
        <v>20</v>
      </c>
      <c r="C203" t="s">
        <v>9</v>
      </c>
      <c r="D203" t="s">
        <v>21</v>
      </c>
      <c r="E203" t="s">
        <v>11</v>
      </c>
      <c r="F203" t="s">
        <v>22</v>
      </c>
      <c r="G203" t="s">
        <v>13</v>
      </c>
      <c r="H203" t="s">
        <v>23</v>
      </c>
      <c r="I203" t="s">
        <v>15</v>
      </c>
      <c r="J203" t="s">
        <v>24</v>
      </c>
      <c r="K203" t="s">
        <v>17</v>
      </c>
      <c r="L203" t="s">
        <v>25</v>
      </c>
      <c r="M203" t="s">
        <v>19</v>
      </c>
    </row>
    <row r="204" spans="1:13" x14ac:dyDescent="0.4">
      <c r="A204" t="s">
        <v>44</v>
      </c>
      <c r="B204">
        <v>12</v>
      </c>
      <c r="C204">
        <v>100</v>
      </c>
      <c r="D204">
        <v>16</v>
      </c>
      <c r="E204">
        <v>82</v>
      </c>
      <c r="F204">
        <v>22</v>
      </c>
      <c r="G204">
        <v>65</v>
      </c>
      <c r="H204">
        <v>28</v>
      </c>
      <c r="I204">
        <v>48</v>
      </c>
      <c r="J204">
        <v>35</v>
      </c>
      <c r="K204">
        <v>30</v>
      </c>
      <c r="L204">
        <v>50</v>
      </c>
      <c r="M204">
        <v>12</v>
      </c>
    </row>
    <row r="205" spans="1:13" x14ac:dyDescent="0.4">
      <c r="A205" t="s">
        <v>45</v>
      </c>
      <c r="B205">
        <v>10</v>
      </c>
      <c r="C205">
        <v>100</v>
      </c>
      <c r="D205">
        <v>14</v>
      </c>
      <c r="E205">
        <v>82</v>
      </c>
      <c r="F205">
        <v>20</v>
      </c>
      <c r="G205">
        <v>65</v>
      </c>
      <c r="H205">
        <v>26</v>
      </c>
      <c r="I205">
        <v>48</v>
      </c>
      <c r="J205">
        <v>34</v>
      </c>
      <c r="K205">
        <v>30</v>
      </c>
      <c r="L205">
        <v>45</v>
      </c>
      <c r="M205">
        <v>12</v>
      </c>
    </row>
    <row r="206" spans="1:13" x14ac:dyDescent="0.4">
      <c r="A206" t="s">
        <v>46</v>
      </c>
      <c r="B206">
        <v>8</v>
      </c>
      <c r="C206">
        <v>100</v>
      </c>
      <c r="D206">
        <v>10</v>
      </c>
      <c r="E206">
        <v>85</v>
      </c>
      <c r="F206">
        <v>13</v>
      </c>
      <c r="G206">
        <v>70</v>
      </c>
      <c r="H206">
        <v>16</v>
      </c>
      <c r="I206">
        <v>52</v>
      </c>
      <c r="J206">
        <v>20</v>
      </c>
      <c r="K206">
        <v>32</v>
      </c>
      <c r="L206">
        <v>28</v>
      </c>
      <c r="M206">
        <v>12</v>
      </c>
    </row>
    <row r="207" spans="1:13" x14ac:dyDescent="0.4">
      <c r="A207" t="s">
        <v>47</v>
      </c>
      <c r="B207">
        <v>8</v>
      </c>
      <c r="C207">
        <v>100</v>
      </c>
      <c r="D207">
        <v>12</v>
      </c>
      <c r="E207">
        <v>82</v>
      </c>
      <c r="F207">
        <v>16</v>
      </c>
      <c r="G207">
        <v>65</v>
      </c>
      <c r="H207">
        <v>22</v>
      </c>
      <c r="I207">
        <v>48</v>
      </c>
      <c r="J207">
        <v>28</v>
      </c>
      <c r="K207">
        <v>28</v>
      </c>
      <c r="L207">
        <v>38</v>
      </c>
      <c r="M207">
        <v>10</v>
      </c>
    </row>
    <row r="208" spans="1:13" x14ac:dyDescent="0.4">
      <c r="A208" t="s">
        <v>48</v>
      </c>
      <c r="B208">
        <v>8</v>
      </c>
      <c r="C208">
        <v>100</v>
      </c>
      <c r="D208">
        <v>12</v>
      </c>
      <c r="E208">
        <v>82</v>
      </c>
      <c r="F208">
        <v>16</v>
      </c>
      <c r="G208">
        <v>65</v>
      </c>
      <c r="H208">
        <v>22</v>
      </c>
      <c r="I208">
        <v>48</v>
      </c>
      <c r="J208">
        <v>28</v>
      </c>
      <c r="K208">
        <v>28</v>
      </c>
      <c r="L208">
        <v>40</v>
      </c>
      <c r="M208">
        <v>10</v>
      </c>
    </row>
    <row r="209" spans="1:13" x14ac:dyDescent="0.4">
      <c r="A209" t="s">
        <v>0</v>
      </c>
      <c r="B209">
        <v>8</v>
      </c>
      <c r="C209">
        <v>100</v>
      </c>
      <c r="D209">
        <v>11</v>
      </c>
      <c r="E209">
        <v>82</v>
      </c>
      <c r="F209">
        <v>14</v>
      </c>
      <c r="G209">
        <v>65</v>
      </c>
      <c r="H209">
        <v>18</v>
      </c>
      <c r="I209">
        <v>48</v>
      </c>
      <c r="J209">
        <v>24</v>
      </c>
      <c r="K209">
        <v>28</v>
      </c>
      <c r="L209">
        <v>32</v>
      </c>
      <c r="M209">
        <v>10</v>
      </c>
    </row>
    <row r="210" spans="1:13" x14ac:dyDescent="0.4">
      <c r="A210" t="s">
        <v>49</v>
      </c>
      <c r="B210">
        <v>10</v>
      </c>
      <c r="C210">
        <v>100</v>
      </c>
      <c r="D210">
        <v>13</v>
      </c>
      <c r="E210">
        <v>82</v>
      </c>
      <c r="F210">
        <v>16</v>
      </c>
      <c r="G210">
        <v>65</v>
      </c>
      <c r="H210">
        <v>20</v>
      </c>
      <c r="I210">
        <v>48</v>
      </c>
      <c r="J210">
        <v>26</v>
      </c>
      <c r="K210">
        <v>28</v>
      </c>
      <c r="L210">
        <v>35</v>
      </c>
      <c r="M210">
        <v>10</v>
      </c>
    </row>
    <row r="211" spans="1:13" x14ac:dyDescent="0.4">
      <c r="A211" t="s">
        <v>50</v>
      </c>
      <c r="B211">
        <v>5</v>
      </c>
      <c r="C211">
        <v>100</v>
      </c>
      <c r="D211">
        <v>7</v>
      </c>
      <c r="E211">
        <v>82</v>
      </c>
      <c r="F211">
        <v>9</v>
      </c>
      <c r="G211">
        <v>65</v>
      </c>
      <c r="H211">
        <v>12</v>
      </c>
      <c r="I211">
        <v>48</v>
      </c>
      <c r="J211">
        <v>16</v>
      </c>
      <c r="K211">
        <v>28</v>
      </c>
      <c r="L211">
        <v>22</v>
      </c>
      <c r="M211">
        <v>8</v>
      </c>
    </row>
    <row r="212" spans="1:13" x14ac:dyDescent="0.4">
      <c r="A212" t="s">
        <v>51</v>
      </c>
      <c r="B212">
        <v>6</v>
      </c>
      <c r="C212">
        <v>100</v>
      </c>
      <c r="D212">
        <v>8</v>
      </c>
      <c r="E212">
        <v>82</v>
      </c>
      <c r="F212">
        <v>10</v>
      </c>
      <c r="G212">
        <v>65</v>
      </c>
      <c r="H212">
        <v>14</v>
      </c>
      <c r="I212">
        <v>48</v>
      </c>
      <c r="J212">
        <v>18</v>
      </c>
      <c r="K212">
        <v>28</v>
      </c>
      <c r="L212">
        <v>25</v>
      </c>
      <c r="M212">
        <v>8</v>
      </c>
    </row>
    <row r="213" spans="1:13" x14ac:dyDescent="0.4">
      <c r="A213" t="s">
        <v>52</v>
      </c>
      <c r="B213">
        <v>8</v>
      </c>
      <c r="C213">
        <v>100</v>
      </c>
      <c r="D213">
        <v>10</v>
      </c>
      <c r="E213">
        <v>80</v>
      </c>
      <c r="F213">
        <v>13</v>
      </c>
      <c r="G213">
        <v>62</v>
      </c>
      <c r="H213">
        <v>16</v>
      </c>
      <c r="I213">
        <v>45</v>
      </c>
      <c r="J213">
        <v>22</v>
      </c>
      <c r="K213">
        <v>25</v>
      </c>
      <c r="L213">
        <v>30</v>
      </c>
      <c r="M213">
        <v>8</v>
      </c>
    </row>
    <row r="214" spans="1:13" x14ac:dyDescent="0.4">
      <c r="A214" t="s">
        <v>53</v>
      </c>
      <c r="B214">
        <v>10</v>
      </c>
      <c r="C214">
        <v>100</v>
      </c>
      <c r="D214">
        <v>14</v>
      </c>
      <c r="E214">
        <v>80</v>
      </c>
      <c r="F214">
        <v>18</v>
      </c>
      <c r="G214">
        <v>62</v>
      </c>
      <c r="H214">
        <v>24</v>
      </c>
      <c r="I214">
        <v>45</v>
      </c>
      <c r="J214">
        <v>30</v>
      </c>
      <c r="K214">
        <v>25</v>
      </c>
      <c r="L214">
        <v>40</v>
      </c>
      <c r="M214">
        <v>8</v>
      </c>
    </row>
    <row r="216" spans="1:13" x14ac:dyDescent="0.4">
      <c r="A216" t="s">
        <v>99</v>
      </c>
    </row>
    <row r="217" spans="1:13" x14ac:dyDescent="0.4">
      <c r="A217" t="s">
        <v>40</v>
      </c>
      <c r="B217" t="s">
        <v>20</v>
      </c>
      <c r="C217" t="s">
        <v>9</v>
      </c>
      <c r="D217" t="s">
        <v>21</v>
      </c>
      <c r="E217" t="s">
        <v>11</v>
      </c>
      <c r="F217" t="s">
        <v>22</v>
      </c>
      <c r="G217" t="s">
        <v>13</v>
      </c>
      <c r="H217" t="s">
        <v>23</v>
      </c>
      <c r="I217" t="s">
        <v>15</v>
      </c>
      <c r="J217" t="s">
        <v>24</v>
      </c>
      <c r="K217" t="s">
        <v>17</v>
      </c>
      <c r="L217" t="s">
        <v>25</v>
      </c>
      <c r="M217" t="s">
        <v>19</v>
      </c>
    </row>
    <row r="218" spans="1:13" x14ac:dyDescent="0.4">
      <c r="A218" t="s">
        <v>44</v>
      </c>
      <c r="B218">
        <v>18</v>
      </c>
      <c r="C218">
        <v>100</v>
      </c>
      <c r="D218">
        <v>25</v>
      </c>
      <c r="E218">
        <v>82</v>
      </c>
      <c r="F218">
        <v>32</v>
      </c>
      <c r="G218">
        <v>65</v>
      </c>
      <c r="H218">
        <v>42</v>
      </c>
      <c r="I218">
        <v>48</v>
      </c>
      <c r="J218">
        <v>55</v>
      </c>
      <c r="K218">
        <v>28</v>
      </c>
      <c r="L218">
        <v>75</v>
      </c>
      <c r="M218">
        <v>10</v>
      </c>
    </row>
    <row r="219" spans="1:13" x14ac:dyDescent="0.4">
      <c r="A219" t="s">
        <v>45</v>
      </c>
      <c r="B219">
        <v>16</v>
      </c>
      <c r="C219">
        <v>100</v>
      </c>
      <c r="D219">
        <v>22</v>
      </c>
      <c r="E219">
        <v>82</v>
      </c>
      <c r="F219">
        <v>30</v>
      </c>
      <c r="G219">
        <v>65</v>
      </c>
      <c r="H219">
        <v>40</v>
      </c>
      <c r="I219">
        <v>48</v>
      </c>
      <c r="J219">
        <v>55</v>
      </c>
      <c r="K219">
        <v>28</v>
      </c>
      <c r="L219">
        <v>75</v>
      </c>
      <c r="M219">
        <v>10</v>
      </c>
    </row>
    <row r="220" spans="1:13" x14ac:dyDescent="0.4">
      <c r="A220" t="s">
        <v>46</v>
      </c>
      <c r="B220">
        <v>12</v>
      </c>
      <c r="C220">
        <v>100</v>
      </c>
      <c r="D220">
        <v>16</v>
      </c>
      <c r="E220">
        <v>85</v>
      </c>
      <c r="F220">
        <v>22</v>
      </c>
      <c r="G220">
        <v>68</v>
      </c>
      <c r="H220">
        <v>30</v>
      </c>
      <c r="I220">
        <v>50</v>
      </c>
      <c r="J220">
        <v>40</v>
      </c>
      <c r="K220">
        <v>30</v>
      </c>
      <c r="L220">
        <v>55</v>
      </c>
      <c r="M220">
        <v>10</v>
      </c>
    </row>
    <row r="221" spans="1:13" x14ac:dyDescent="0.4">
      <c r="A221" t="s">
        <v>47</v>
      </c>
      <c r="B221">
        <v>14</v>
      </c>
      <c r="C221">
        <v>100</v>
      </c>
      <c r="D221">
        <v>20</v>
      </c>
      <c r="E221">
        <v>82</v>
      </c>
      <c r="F221">
        <v>28</v>
      </c>
      <c r="G221">
        <v>65</v>
      </c>
      <c r="H221">
        <v>36</v>
      </c>
      <c r="I221">
        <v>48</v>
      </c>
      <c r="J221">
        <v>48</v>
      </c>
      <c r="K221">
        <v>28</v>
      </c>
      <c r="L221">
        <v>65</v>
      </c>
      <c r="M221">
        <v>10</v>
      </c>
    </row>
    <row r="222" spans="1:13" x14ac:dyDescent="0.4">
      <c r="A222" t="s">
        <v>48</v>
      </c>
      <c r="B222">
        <v>14</v>
      </c>
      <c r="C222">
        <v>100</v>
      </c>
      <c r="D222">
        <v>20</v>
      </c>
      <c r="E222">
        <v>82</v>
      </c>
      <c r="F222">
        <v>28</v>
      </c>
      <c r="G222">
        <v>65</v>
      </c>
      <c r="H222">
        <v>38</v>
      </c>
      <c r="I222">
        <v>48</v>
      </c>
      <c r="J222">
        <v>50</v>
      </c>
      <c r="K222">
        <v>28</v>
      </c>
      <c r="L222">
        <v>70</v>
      </c>
      <c r="M222">
        <v>10</v>
      </c>
    </row>
    <row r="223" spans="1:13" x14ac:dyDescent="0.4">
      <c r="A223" t="s">
        <v>0</v>
      </c>
      <c r="B223">
        <v>14</v>
      </c>
      <c r="C223">
        <v>100</v>
      </c>
      <c r="D223">
        <v>20</v>
      </c>
      <c r="E223">
        <v>82</v>
      </c>
      <c r="F223">
        <v>26</v>
      </c>
      <c r="G223">
        <v>65</v>
      </c>
      <c r="H223">
        <v>34</v>
      </c>
      <c r="I223">
        <v>48</v>
      </c>
      <c r="J223">
        <v>45</v>
      </c>
      <c r="K223">
        <v>28</v>
      </c>
      <c r="L223">
        <v>60</v>
      </c>
      <c r="M223">
        <v>8</v>
      </c>
    </row>
    <row r="224" spans="1:13" x14ac:dyDescent="0.4">
      <c r="A224" t="s">
        <v>49</v>
      </c>
      <c r="B224">
        <v>16</v>
      </c>
      <c r="C224">
        <v>100</v>
      </c>
      <c r="D224">
        <v>22</v>
      </c>
      <c r="E224">
        <v>82</v>
      </c>
      <c r="F224">
        <v>28</v>
      </c>
      <c r="G224">
        <v>65</v>
      </c>
      <c r="H224">
        <v>36</v>
      </c>
      <c r="I224">
        <v>48</v>
      </c>
      <c r="J224">
        <v>48</v>
      </c>
      <c r="K224">
        <v>28</v>
      </c>
      <c r="L224">
        <v>65</v>
      </c>
      <c r="M224">
        <v>8</v>
      </c>
    </row>
    <row r="225" spans="1:13" x14ac:dyDescent="0.4">
      <c r="A225" t="s">
        <v>50</v>
      </c>
      <c r="B225">
        <v>8</v>
      </c>
      <c r="C225">
        <v>100</v>
      </c>
      <c r="D225">
        <v>12</v>
      </c>
      <c r="E225">
        <v>80</v>
      </c>
      <c r="F225">
        <v>18</v>
      </c>
      <c r="G225">
        <v>62</v>
      </c>
      <c r="H225">
        <v>25</v>
      </c>
      <c r="I225">
        <v>45</v>
      </c>
      <c r="J225">
        <v>35</v>
      </c>
      <c r="K225">
        <v>25</v>
      </c>
      <c r="L225">
        <v>50</v>
      </c>
      <c r="M225">
        <v>8</v>
      </c>
    </row>
    <row r="226" spans="1:13" x14ac:dyDescent="0.4">
      <c r="A226" t="s">
        <v>51</v>
      </c>
      <c r="B226">
        <v>10</v>
      </c>
      <c r="C226">
        <v>100</v>
      </c>
      <c r="D226">
        <v>14</v>
      </c>
      <c r="E226">
        <v>80</v>
      </c>
      <c r="F226">
        <v>20</v>
      </c>
      <c r="G226">
        <v>62</v>
      </c>
      <c r="H226">
        <v>28</v>
      </c>
      <c r="I226">
        <v>45</v>
      </c>
      <c r="J226">
        <v>38</v>
      </c>
      <c r="K226">
        <v>25</v>
      </c>
      <c r="L226">
        <v>55</v>
      </c>
      <c r="M226">
        <v>8</v>
      </c>
    </row>
    <row r="227" spans="1:13" x14ac:dyDescent="0.4">
      <c r="A227" t="s">
        <v>52</v>
      </c>
      <c r="B227">
        <v>14</v>
      </c>
      <c r="C227">
        <v>100</v>
      </c>
      <c r="D227">
        <v>20</v>
      </c>
      <c r="E227">
        <v>78</v>
      </c>
      <c r="F227">
        <v>28</v>
      </c>
      <c r="G227">
        <v>60</v>
      </c>
      <c r="H227">
        <v>36</v>
      </c>
      <c r="I227">
        <v>42</v>
      </c>
      <c r="J227">
        <v>50</v>
      </c>
      <c r="K227">
        <v>22</v>
      </c>
      <c r="L227">
        <v>70</v>
      </c>
      <c r="M227">
        <v>5</v>
      </c>
    </row>
    <row r="228" spans="1:13" x14ac:dyDescent="0.4">
      <c r="A228" t="s">
        <v>53</v>
      </c>
      <c r="B228">
        <v>12</v>
      </c>
      <c r="C228">
        <v>100</v>
      </c>
      <c r="D228">
        <v>18</v>
      </c>
      <c r="E228">
        <v>78</v>
      </c>
      <c r="F228">
        <v>26</v>
      </c>
      <c r="G228">
        <v>60</v>
      </c>
      <c r="H228">
        <v>35</v>
      </c>
      <c r="I228">
        <v>42</v>
      </c>
      <c r="J228">
        <v>48</v>
      </c>
      <c r="K228">
        <v>22</v>
      </c>
      <c r="L228">
        <v>65</v>
      </c>
      <c r="M228">
        <v>5</v>
      </c>
    </row>
    <row r="230" spans="1:13" x14ac:dyDescent="0.4">
      <c r="A230" t="s">
        <v>100</v>
      </c>
    </row>
    <row r="231" spans="1:13" x14ac:dyDescent="0.4">
      <c r="A231" t="s">
        <v>40</v>
      </c>
      <c r="B231" t="s">
        <v>8</v>
      </c>
      <c r="C231" t="s">
        <v>9</v>
      </c>
      <c r="D231" t="s">
        <v>10</v>
      </c>
      <c r="E231" t="s">
        <v>11</v>
      </c>
      <c r="F231" t="s">
        <v>12</v>
      </c>
      <c r="G231" t="s">
        <v>13</v>
      </c>
      <c r="H231" t="s">
        <v>14</v>
      </c>
      <c r="I231" t="s">
        <v>15</v>
      </c>
      <c r="J231" t="s">
        <v>16</v>
      </c>
      <c r="K231" t="s">
        <v>17</v>
      </c>
      <c r="L231" t="s">
        <v>18</v>
      </c>
      <c r="M231" t="s">
        <v>19</v>
      </c>
    </row>
    <row r="232" spans="1:13" x14ac:dyDescent="0.4">
      <c r="A232" t="s">
        <v>44</v>
      </c>
      <c r="B232">
        <v>0.03</v>
      </c>
      <c r="C232">
        <v>100</v>
      </c>
      <c r="D232">
        <v>0.02</v>
      </c>
      <c r="E232">
        <v>82</v>
      </c>
      <c r="F232">
        <v>0.01</v>
      </c>
      <c r="G232">
        <v>62</v>
      </c>
      <c r="H232">
        <v>5.0000000000000001E-3</v>
      </c>
      <c r="I232">
        <v>42</v>
      </c>
      <c r="J232">
        <v>2E-3</v>
      </c>
      <c r="K232">
        <v>22</v>
      </c>
      <c r="L232">
        <v>0</v>
      </c>
      <c r="M232">
        <v>5</v>
      </c>
    </row>
    <row r="233" spans="1:13" x14ac:dyDescent="0.4">
      <c r="A233" t="s">
        <v>45</v>
      </c>
      <c r="B233">
        <v>0.03</v>
      </c>
      <c r="C233">
        <v>100</v>
      </c>
      <c r="D233">
        <v>0.02</v>
      </c>
      <c r="E233">
        <v>82</v>
      </c>
      <c r="F233">
        <v>1.2E-2</v>
      </c>
      <c r="G233">
        <v>62</v>
      </c>
      <c r="H233">
        <v>5.0000000000000001E-3</v>
      </c>
      <c r="I233">
        <v>42</v>
      </c>
      <c r="J233">
        <v>2E-3</v>
      </c>
      <c r="K233">
        <v>22</v>
      </c>
      <c r="L233">
        <v>0</v>
      </c>
      <c r="M233">
        <v>5</v>
      </c>
    </row>
    <row r="234" spans="1:13" x14ac:dyDescent="0.4">
      <c r="A234" t="s">
        <v>46</v>
      </c>
      <c r="B234">
        <v>0.04</v>
      </c>
      <c r="C234">
        <v>100</v>
      </c>
      <c r="D234">
        <v>0.03</v>
      </c>
      <c r="E234">
        <v>85</v>
      </c>
      <c r="F234">
        <v>0.02</v>
      </c>
      <c r="G234">
        <v>68</v>
      </c>
      <c r="H234">
        <v>0.01</v>
      </c>
      <c r="I234">
        <v>50</v>
      </c>
      <c r="J234">
        <v>5.0000000000000001E-3</v>
      </c>
      <c r="K234">
        <v>30</v>
      </c>
      <c r="L234">
        <v>0</v>
      </c>
      <c r="M234">
        <v>8</v>
      </c>
    </row>
    <row r="235" spans="1:13" x14ac:dyDescent="0.4">
      <c r="A235" t="s">
        <v>47</v>
      </c>
      <c r="B235">
        <v>0.03</v>
      </c>
      <c r="C235">
        <v>100</v>
      </c>
      <c r="D235">
        <v>0.02</v>
      </c>
      <c r="E235">
        <v>82</v>
      </c>
      <c r="F235">
        <v>0.01</v>
      </c>
      <c r="G235">
        <v>62</v>
      </c>
      <c r="H235">
        <v>5.0000000000000001E-3</v>
      </c>
      <c r="I235">
        <v>42</v>
      </c>
      <c r="J235">
        <v>2E-3</v>
      </c>
      <c r="K235">
        <v>22</v>
      </c>
      <c r="L235">
        <v>0</v>
      </c>
      <c r="M235">
        <v>5</v>
      </c>
    </row>
    <row r="236" spans="1:13" x14ac:dyDescent="0.4">
      <c r="A236" t="s">
        <v>48</v>
      </c>
      <c r="B236">
        <v>0.04</v>
      </c>
      <c r="C236">
        <v>100</v>
      </c>
      <c r="D236">
        <v>2.5000000000000001E-2</v>
      </c>
      <c r="E236">
        <v>82</v>
      </c>
      <c r="F236">
        <v>1.4999999999999999E-2</v>
      </c>
      <c r="G236">
        <v>62</v>
      </c>
      <c r="H236">
        <v>8.0000000000000002E-3</v>
      </c>
      <c r="I236">
        <v>42</v>
      </c>
      <c r="J236">
        <v>3.0000000000000001E-3</v>
      </c>
      <c r="K236">
        <v>22</v>
      </c>
      <c r="L236">
        <v>0</v>
      </c>
      <c r="M236">
        <v>5</v>
      </c>
    </row>
    <row r="237" spans="1:13" x14ac:dyDescent="0.4">
      <c r="A237" t="s">
        <v>0</v>
      </c>
      <c r="B237">
        <v>3.5000000000000003E-2</v>
      </c>
      <c r="C237">
        <v>100</v>
      </c>
      <c r="D237">
        <v>2.5000000000000001E-2</v>
      </c>
      <c r="E237">
        <v>82</v>
      </c>
      <c r="F237">
        <v>1.4999999999999999E-2</v>
      </c>
      <c r="G237">
        <v>65</v>
      </c>
      <c r="H237">
        <v>8.0000000000000002E-3</v>
      </c>
      <c r="I237">
        <v>45</v>
      </c>
      <c r="J237">
        <v>3.0000000000000001E-3</v>
      </c>
      <c r="K237">
        <v>25</v>
      </c>
      <c r="L237">
        <v>0</v>
      </c>
      <c r="M237">
        <v>5</v>
      </c>
    </row>
    <row r="238" spans="1:13" x14ac:dyDescent="0.4">
      <c r="A238" t="s">
        <v>49</v>
      </c>
      <c r="B238">
        <v>0.04</v>
      </c>
      <c r="C238">
        <v>100</v>
      </c>
      <c r="D238">
        <v>0.03</v>
      </c>
      <c r="E238">
        <v>85</v>
      </c>
      <c r="F238">
        <v>0.02</v>
      </c>
      <c r="G238">
        <v>68</v>
      </c>
      <c r="H238">
        <v>1.2E-2</v>
      </c>
      <c r="I238">
        <v>50</v>
      </c>
      <c r="J238">
        <v>5.0000000000000001E-3</v>
      </c>
      <c r="K238">
        <v>30</v>
      </c>
      <c r="L238">
        <v>0</v>
      </c>
      <c r="M238">
        <v>8</v>
      </c>
    </row>
    <row r="239" spans="1:13" x14ac:dyDescent="0.4">
      <c r="A239" t="s">
        <v>50</v>
      </c>
      <c r="B239">
        <v>0.05</v>
      </c>
      <c r="C239">
        <v>100</v>
      </c>
      <c r="D239">
        <v>0.04</v>
      </c>
      <c r="E239">
        <v>85</v>
      </c>
      <c r="F239">
        <v>0.03</v>
      </c>
      <c r="G239">
        <v>68</v>
      </c>
      <c r="H239">
        <v>0.02</v>
      </c>
      <c r="I239">
        <v>50</v>
      </c>
      <c r="J239">
        <v>0.01</v>
      </c>
      <c r="K239">
        <v>30</v>
      </c>
      <c r="L239">
        <v>0</v>
      </c>
      <c r="M239">
        <v>8</v>
      </c>
    </row>
    <row r="240" spans="1:13" x14ac:dyDescent="0.4">
      <c r="A240" t="s">
        <v>51</v>
      </c>
      <c r="B240">
        <v>0.04</v>
      </c>
      <c r="C240">
        <v>100</v>
      </c>
      <c r="D240">
        <v>0.03</v>
      </c>
      <c r="E240">
        <v>85</v>
      </c>
      <c r="F240">
        <v>0.02</v>
      </c>
      <c r="G240">
        <v>68</v>
      </c>
      <c r="H240">
        <v>1.2E-2</v>
      </c>
      <c r="I240">
        <v>48</v>
      </c>
      <c r="J240">
        <v>5.0000000000000001E-3</v>
      </c>
      <c r="K240">
        <v>28</v>
      </c>
      <c r="L240">
        <v>0</v>
      </c>
      <c r="M240">
        <v>8</v>
      </c>
    </row>
    <row r="241" spans="1:13" x14ac:dyDescent="0.4">
      <c r="A241" t="s">
        <v>52</v>
      </c>
      <c r="B241">
        <v>0.05</v>
      </c>
      <c r="C241">
        <v>100</v>
      </c>
      <c r="D241">
        <v>0.04</v>
      </c>
      <c r="E241">
        <v>88</v>
      </c>
      <c r="F241">
        <v>0.03</v>
      </c>
      <c r="G241">
        <v>72</v>
      </c>
      <c r="H241">
        <v>0.02</v>
      </c>
      <c r="I241">
        <v>55</v>
      </c>
      <c r="J241">
        <v>0.01</v>
      </c>
      <c r="K241">
        <v>35</v>
      </c>
      <c r="L241">
        <v>5.0000000000000001E-3</v>
      </c>
      <c r="M241">
        <v>15</v>
      </c>
    </row>
    <row r="242" spans="1:13" x14ac:dyDescent="0.4">
      <c r="A242" t="s">
        <v>53</v>
      </c>
      <c r="B242">
        <v>0.06</v>
      </c>
      <c r="C242">
        <v>100</v>
      </c>
      <c r="D242">
        <v>4.4999999999999998E-2</v>
      </c>
      <c r="E242">
        <v>88</v>
      </c>
      <c r="F242">
        <v>3.5000000000000003E-2</v>
      </c>
      <c r="G242">
        <v>72</v>
      </c>
      <c r="H242">
        <v>2.5000000000000001E-2</v>
      </c>
      <c r="I242">
        <v>55</v>
      </c>
      <c r="J242">
        <v>1.4999999999999999E-2</v>
      </c>
      <c r="K242">
        <v>35</v>
      </c>
      <c r="L242">
        <v>5.0000000000000001E-3</v>
      </c>
      <c r="M242">
        <v>15</v>
      </c>
    </row>
    <row r="244" spans="1:13" x14ac:dyDescent="0.4">
      <c r="A244" t="s">
        <v>101</v>
      </c>
    </row>
    <row r="245" spans="1:13" x14ac:dyDescent="0.4">
      <c r="A245" t="s">
        <v>40</v>
      </c>
      <c r="B245" t="s">
        <v>64</v>
      </c>
      <c r="C245" t="s">
        <v>9</v>
      </c>
      <c r="D245" t="s">
        <v>65</v>
      </c>
      <c r="E245" t="s">
        <v>11</v>
      </c>
      <c r="F245" t="s">
        <v>66</v>
      </c>
      <c r="G245" t="s">
        <v>13</v>
      </c>
      <c r="H245" t="s">
        <v>67</v>
      </c>
      <c r="I245" t="s">
        <v>15</v>
      </c>
      <c r="J245" t="s">
        <v>68</v>
      </c>
      <c r="K245" t="s">
        <v>17</v>
      </c>
      <c r="L245" t="s">
        <v>69</v>
      </c>
      <c r="M245" t="s">
        <v>19</v>
      </c>
    </row>
    <row r="246" spans="1:13" x14ac:dyDescent="0.4">
      <c r="A246" t="s">
        <v>44</v>
      </c>
      <c r="B246">
        <v>0.4</v>
      </c>
      <c r="C246">
        <v>100</v>
      </c>
      <c r="D246">
        <v>0.3</v>
      </c>
      <c r="E246">
        <v>85</v>
      </c>
      <c r="F246">
        <v>0.5</v>
      </c>
      <c r="G246">
        <v>72</v>
      </c>
      <c r="H246">
        <v>0.2</v>
      </c>
      <c r="I246">
        <v>55</v>
      </c>
      <c r="J246">
        <v>0.6</v>
      </c>
      <c r="K246">
        <v>38</v>
      </c>
      <c r="L246">
        <v>0.8</v>
      </c>
      <c r="M246">
        <v>18</v>
      </c>
    </row>
    <row r="247" spans="1:13" x14ac:dyDescent="0.4">
      <c r="A247" t="s">
        <v>45</v>
      </c>
      <c r="B247">
        <v>0.4</v>
      </c>
      <c r="C247">
        <v>100</v>
      </c>
      <c r="D247">
        <v>0.3</v>
      </c>
      <c r="E247">
        <v>85</v>
      </c>
      <c r="F247">
        <v>0.5</v>
      </c>
      <c r="G247">
        <v>72</v>
      </c>
      <c r="H247">
        <v>0.2</v>
      </c>
      <c r="I247">
        <v>55</v>
      </c>
      <c r="J247">
        <v>0.6</v>
      </c>
      <c r="K247">
        <v>38</v>
      </c>
      <c r="L247">
        <v>0.8</v>
      </c>
      <c r="M247">
        <v>18</v>
      </c>
    </row>
    <row r="248" spans="1:13" x14ac:dyDescent="0.4">
      <c r="A248" t="s">
        <v>46</v>
      </c>
      <c r="B248">
        <v>0.45</v>
      </c>
      <c r="C248">
        <v>100</v>
      </c>
      <c r="D248">
        <v>0.35</v>
      </c>
      <c r="E248">
        <v>85</v>
      </c>
      <c r="F248">
        <v>0.55000000000000004</v>
      </c>
      <c r="G248">
        <v>72</v>
      </c>
      <c r="H248">
        <v>0.25</v>
      </c>
      <c r="I248">
        <v>55</v>
      </c>
      <c r="J248">
        <v>0.65</v>
      </c>
      <c r="K248">
        <v>38</v>
      </c>
      <c r="L248">
        <v>0.85</v>
      </c>
      <c r="M248">
        <v>18</v>
      </c>
    </row>
    <row r="249" spans="1:13" x14ac:dyDescent="0.4">
      <c r="A249" t="s">
        <v>47</v>
      </c>
      <c r="B249">
        <v>0.35</v>
      </c>
      <c r="C249">
        <v>100</v>
      </c>
      <c r="D249">
        <v>0.25</v>
      </c>
      <c r="E249">
        <v>85</v>
      </c>
      <c r="F249">
        <v>0.5</v>
      </c>
      <c r="G249">
        <v>70</v>
      </c>
      <c r="H249">
        <v>0.15</v>
      </c>
      <c r="I249">
        <v>52</v>
      </c>
      <c r="J249">
        <v>0.6</v>
      </c>
      <c r="K249">
        <v>35</v>
      </c>
      <c r="L249">
        <v>0.8</v>
      </c>
      <c r="M249">
        <v>15</v>
      </c>
    </row>
    <row r="250" spans="1:13" x14ac:dyDescent="0.4">
      <c r="A250" t="s">
        <v>48</v>
      </c>
      <c r="B250">
        <v>0.35</v>
      </c>
      <c r="C250">
        <v>100</v>
      </c>
      <c r="D250">
        <v>0.25</v>
      </c>
      <c r="E250">
        <v>85</v>
      </c>
      <c r="F250">
        <v>0.5</v>
      </c>
      <c r="G250">
        <v>70</v>
      </c>
      <c r="H250">
        <v>0.15</v>
      </c>
      <c r="I250">
        <v>52</v>
      </c>
      <c r="J250">
        <v>0.6</v>
      </c>
      <c r="K250">
        <v>35</v>
      </c>
      <c r="L250">
        <v>0.8</v>
      </c>
      <c r="M250">
        <v>15</v>
      </c>
    </row>
    <row r="251" spans="1:13" x14ac:dyDescent="0.4">
      <c r="A251" t="s">
        <v>0</v>
      </c>
      <c r="B251">
        <v>0.4</v>
      </c>
      <c r="C251">
        <v>100</v>
      </c>
      <c r="D251">
        <v>0.3</v>
      </c>
      <c r="E251">
        <v>82</v>
      </c>
      <c r="F251">
        <v>0.55000000000000004</v>
      </c>
      <c r="G251">
        <v>68</v>
      </c>
      <c r="H251">
        <v>0.2</v>
      </c>
      <c r="I251">
        <v>50</v>
      </c>
      <c r="J251">
        <v>0.65</v>
      </c>
      <c r="K251">
        <v>32</v>
      </c>
      <c r="L251">
        <v>0.85</v>
      </c>
      <c r="M251">
        <v>12</v>
      </c>
    </row>
    <row r="252" spans="1:13" x14ac:dyDescent="0.4">
      <c r="A252" t="s">
        <v>49</v>
      </c>
      <c r="B252">
        <v>0.55000000000000004</v>
      </c>
      <c r="C252">
        <v>100</v>
      </c>
      <c r="D252">
        <v>0.45</v>
      </c>
      <c r="E252">
        <v>88</v>
      </c>
      <c r="F252">
        <v>0.65</v>
      </c>
      <c r="G252">
        <v>72</v>
      </c>
      <c r="H252">
        <v>0.35</v>
      </c>
      <c r="I252">
        <v>55</v>
      </c>
      <c r="J252">
        <v>0.75</v>
      </c>
      <c r="K252">
        <v>38</v>
      </c>
      <c r="L252">
        <v>0.9</v>
      </c>
      <c r="M252">
        <v>18</v>
      </c>
    </row>
    <row r="253" spans="1:13" x14ac:dyDescent="0.4">
      <c r="A253" t="s">
        <v>50</v>
      </c>
      <c r="B253">
        <v>0.4</v>
      </c>
      <c r="C253">
        <v>100</v>
      </c>
      <c r="D253">
        <v>0.3</v>
      </c>
      <c r="E253">
        <v>82</v>
      </c>
      <c r="F253">
        <v>0.55000000000000004</v>
      </c>
      <c r="G253">
        <v>65</v>
      </c>
      <c r="H253">
        <v>0.2</v>
      </c>
      <c r="I253">
        <v>48</v>
      </c>
      <c r="J253">
        <v>0.7</v>
      </c>
      <c r="K253">
        <v>30</v>
      </c>
      <c r="L253">
        <v>0.9</v>
      </c>
      <c r="M253">
        <v>10</v>
      </c>
    </row>
    <row r="254" spans="1:13" x14ac:dyDescent="0.4">
      <c r="A254" t="s">
        <v>51</v>
      </c>
      <c r="B254">
        <v>0.4</v>
      </c>
      <c r="C254">
        <v>100</v>
      </c>
      <c r="D254">
        <v>0.3</v>
      </c>
      <c r="E254">
        <v>82</v>
      </c>
      <c r="F254">
        <v>0.55000000000000004</v>
      </c>
      <c r="G254">
        <v>65</v>
      </c>
      <c r="H254">
        <v>0.2</v>
      </c>
      <c r="I254">
        <v>48</v>
      </c>
      <c r="J254">
        <v>0.7</v>
      </c>
      <c r="K254">
        <v>30</v>
      </c>
      <c r="L254">
        <v>0.9</v>
      </c>
      <c r="M254">
        <v>10</v>
      </c>
    </row>
    <row r="255" spans="1:13" x14ac:dyDescent="0.4">
      <c r="A255" t="s">
        <v>52</v>
      </c>
      <c r="B255">
        <v>0.65</v>
      </c>
      <c r="C255">
        <v>100</v>
      </c>
      <c r="D255">
        <v>0.55000000000000004</v>
      </c>
      <c r="E255">
        <v>88</v>
      </c>
      <c r="F255">
        <v>0.75</v>
      </c>
      <c r="G255">
        <v>72</v>
      </c>
      <c r="H255">
        <v>0.45</v>
      </c>
      <c r="I255">
        <v>55</v>
      </c>
      <c r="J255">
        <v>0.85</v>
      </c>
      <c r="K255">
        <v>35</v>
      </c>
      <c r="L255">
        <v>0.95</v>
      </c>
      <c r="M255">
        <v>15</v>
      </c>
    </row>
    <row r="256" spans="1:13" x14ac:dyDescent="0.4">
      <c r="A256" t="s">
        <v>53</v>
      </c>
      <c r="B256">
        <v>0.7</v>
      </c>
      <c r="C256">
        <v>100</v>
      </c>
      <c r="D256">
        <v>0.6</v>
      </c>
      <c r="E256">
        <v>88</v>
      </c>
      <c r="F256">
        <v>0.8</v>
      </c>
      <c r="G256">
        <v>72</v>
      </c>
      <c r="H256">
        <v>0.5</v>
      </c>
      <c r="I256">
        <v>55</v>
      </c>
      <c r="J256">
        <v>0.9</v>
      </c>
      <c r="K256">
        <v>35</v>
      </c>
      <c r="L256">
        <v>0.95</v>
      </c>
      <c r="M256">
        <v>15</v>
      </c>
    </row>
    <row r="258" spans="1:13" x14ac:dyDescent="0.4">
      <c r="A258" t="s">
        <v>70</v>
      </c>
    </row>
    <row r="259" spans="1:13" x14ac:dyDescent="0.4">
      <c r="A259" t="s">
        <v>40</v>
      </c>
      <c r="B259" t="s">
        <v>8</v>
      </c>
      <c r="C259" t="s">
        <v>9</v>
      </c>
      <c r="D259" t="s">
        <v>10</v>
      </c>
      <c r="E259" t="s">
        <v>11</v>
      </c>
      <c r="F259" t="s">
        <v>12</v>
      </c>
      <c r="G259" t="s">
        <v>13</v>
      </c>
      <c r="H259" t="s">
        <v>14</v>
      </c>
      <c r="I259" t="s">
        <v>15</v>
      </c>
      <c r="J259" t="s">
        <v>16</v>
      </c>
      <c r="K259" t="s">
        <v>17</v>
      </c>
      <c r="L259" t="s">
        <v>18</v>
      </c>
      <c r="M259" t="s">
        <v>19</v>
      </c>
    </row>
    <row r="260" spans="1:13" x14ac:dyDescent="0.4">
      <c r="A260" t="s">
        <v>44</v>
      </c>
      <c r="B260">
        <v>0.04</v>
      </c>
      <c r="C260">
        <v>100</v>
      </c>
      <c r="D260">
        <v>0.03</v>
      </c>
      <c r="E260">
        <v>85</v>
      </c>
      <c r="F260">
        <v>0.02</v>
      </c>
      <c r="G260">
        <v>68</v>
      </c>
      <c r="H260">
        <v>0.01</v>
      </c>
      <c r="I260">
        <v>50</v>
      </c>
      <c r="J260">
        <v>5.0000000000000001E-3</v>
      </c>
      <c r="K260">
        <v>30</v>
      </c>
      <c r="L260">
        <v>0</v>
      </c>
      <c r="M260">
        <v>10</v>
      </c>
    </row>
    <row r="261" spans="1:13" x14ac:dyDescent="0.4">
      <c r="A261" t="s">
        <v>45</v>
      </c>
      <c r="B261">
        <v>0.04</v>
      </c>
      <c r="C261">
        <v>100</v>
      </c>
      <c r="D261">
        <v>0.03</v>
      </c>
      <c r="E261">
        <v>85</v>
      </c>
      <c r="F261">
        <v>0.02</v>
      </c>
      <c r="G261">
        <v>68</v>
      </c>
      <c r="H261">
        <v>0.01</v>
      </c>
      <c r="I261">
        <v>50</v>
      </c>
      <c r="J261">
        <v>5.0000000000000001E-3</v>
      </c>
      <c r="K261">
        <v>30</v>
      </c>
      <c r="L261">
        <v>0</v>
      </c>
      <c r="M261">
        <v>10</v>
      </c>
    </row>
    <row r="262" spans="1:13" x14ac:dyDescent="0.4">
      <c r="A262" t="s">
        <v>46</v>
      </c>
      <c r="B262">
        <v>0.05</v>
      </c>
      <c r="C262">
        <v>100</v>
      </c>
      <c r="D262">
        <v>3.5000000000000003E-2</v>
      </c>
      <c r="E262">
        <v>85</v>
      </c>
      <c r="F262">
        <v>2.5000000000000001E-2</v>
      </c>
      <c r="G262">
        <v>70</v>
      </c>
      <c r="H262">
        <v>1.4999999999999999E-2</v>
      </c>
      <c r="I262">
        <v>52</v>
      </c>
      <c r="J262">
        <v>5.0000000000000001E-3</v>
      </c>
      <c r="K262">
        <v>32</v>
      </c>
      <c r="L262">
        <v>0</v>
      </c>
      <c r="M262">
        <v>10</v>
      </c>
    </row>
    <row r="263" spans="1:13" x14ac:dyDescent="0.4">
      <c r="A263" t="s">
        <v>47</v>
      </c>
      <c r="B263">
        <v>0.04</v>
      </c>
      <c r="C263">
        <v>100</v>
      </c>
      <c r="D263">
        <v>0.03</v>
      </c>
      <c r="E263">
        <v>85</v>
      </c>
      <c r="F263">
        <v>0.02</v>
      </c>
      <c r="G263">
        <v>68</v>
      </c>
      <c r="H263">
        <v>0.01</v>
      </c>
      <c r="I263">
        <v>50</v>
      </c>
      <c r="J263">
        <v>5.0000000000000001E-3</v>
      </c>
      <c r="K263">
        <v>30</v>
      </c>
      <c r="L263">
        <v>0</v>
      </c>
      <c r="M263">
        <v>10</v>
      </c>
    </row>
    <row r="264" spans="1:13" x14ac:dyDescent="0.4">
      <c r="A264" t="s">
        <v>48</v>
      </c>
      <c r="B264">
        <v>0.04</v>
      </c>
      <c r="C264">
        <v>100</v>
      </c>
      <c r="D264">
        <v>0.03</v>
      </c>
      <c r="E264">
        <v>85</v>
      </c>
      <c r="F264">
        <v>0.02</v>
      </c>
      <c r="G264">
        <v>68</v>
      </c>
      <c r="H264">
        <v>0.01</v>
      </c>
      <c r="I264">
        <v>50</v>
      </c>
      <c r="J264">
        <v>5.0000000000000001E-3</v>
      </c>
      <c r="K264">
        <v>30</v>
      </c>
      <c r="L264">
        <v>0</v>
      </c>
      <c r="M264">
        <v>10</v>
      </c>
    </row>
    <row r="265" spans="1:13" x14ac:dyDescent="0.4">
      <c r="A265" t="s">
        <v>0</v>
      </c>
      <c r="B265">
        <v>0.03</v>
      </c>
      <c r="C265">
        <v>100</v>
      </c>
      <c r="D265">
        <v>0.02</v>
      </c>
      <c r="E265">
        <v>82</v>
      </c>
      <c r="F265">
        <v>1.4999999999999999E-2</v>
      </c>
      <c r="G265">
        <v>65</v>
      </c>
      <c r="H265">
        <v>8.0000000000000002E-3</v>
      </c>
      <c r="I265">
        <v>48</v>
      </c>
      <c r="J265">
        <v>3.0000000000000001E-3</v>
      </c>
      <c r="K265">
        <v>28</v>
      </c>
      <c r="L265">
        <v>0</v>
      </c>
      <c r="M265">
        <v>8</v>
      </c>
    </row>
    <row r="266" spans="1:13" x14ac:dyDescent="0.4">
      <c r="A266" t="s">
        <v>49</v>
      </c>
      <c r="B266">
        <v>0.03</v>
      </c>
      <c r="C266">
        <v>100</v>
      </c>
      <c r="D266">
        <v>0.02</v>
      </c>
      <c r="E266">
        <v>82</v>
      </c>
      <c r="F266">
        <v>1.4999999999999999E-2</v>
      </c>
      <c r="G266">
        <v>65</v>
      </c>
      <c r="H266">
        <v>8.0000000000000002E-3</v>
      </c>
      <c r="I266">
        <v>48</v>
      </c>
      <c r="J266">
        <v>3.0000000000000001E-3</v>
      </c>
      <c r="K266">
        <v>28</v>
      </c>
      <c r="L266">
        <v>0</v>
      </c>
      <c r="M266">
        <v>8</v>
      </c>
    </row>
    <row r="267" spans="1:13" x14ac:dyDescent="0.4">
      <c r="A267" t="s">
        <v>50</v>
      </c>
      <c r="B267">
        <v>0.05</v>
      </c>
      <c r="C267">
        <v>100</v>
      </c>
      <c r="D267">
        <v>0.03</v>
      </c>
      <c r="E267">
        <v>80</v>
      </c>
      <c r="F267">
        <v>0.02</v>
      </c>
      <c r="G267">
        <v>62</v>
      </c>
      <c r="H267">
        <v>0.01</v>
      </c>
      <c r="I267">
        <v>45</v>
      </c>
      <c r="J267">
        <v>5.0000000000000001E-3</v>
      </c>
      <c r="K267">
        <v>25</v>
      </c>
      <c r="L267">
        <v>0</v>
      </c>
      <c r="M267">
        <v>5</v>
      </c>
    </row>
    <row r="268" spans="1:13" x14ac:dyDescent="0.4">
      <c r="A268" t="s">
        <v>51</v>
      </c>
      <c r="B268">
        <v>0.03</v>
      </c>
      <c r="C268">
        <v>100</v>
      </c>
      <c r="D268">
        <v>0.02</v>
      </c>
      <c r="E268">
        <v>80</v>
      </c>
      <c r="F268">
        <v>1.4999999999999999E-2</v>
      </c>
      <c r="G268">
        <v>62</v>
      </c>
      <c r="H268">
        <v>8.0000000000000002E-3</v>
      </c>
      <c r="I268">
        <v>45</v>
      </c>
      <c r="J268">
        <v>3.0000000000000001E-3</v>
      </c>
      <c r="K268">
        <v>25</v>
      </c>
      <c r="L268">
        <v>0</v>
      </c>
      <c r="M268">
        <v>5</v>
      </c>
    </row>
    <row r="269" spans="1:13" x14ac:dyDescent="0.4">
      <c r="A269" t="s">
        <v>52</v>
      </c>
      <c r="B269">
        <v>0.02</v>
      </c>
      <c r="C269">
        <v>100</v>
      </c>
      <c r="D269">
        <v>1.4999999999999999E-2</v>
      </c>
      <c r="E269">
        <v>78</v>
      </c>
      <c r="F269">
        <v>0.01</v>
      </c>
      <c r="G269">
        <v>58</v>
      </c>
      <c r="H269">
        <v>5.0000000000000001E-3</v>
      </c>
      <c r="I269">
        <v>40</v>
      </c>
      <c r="J269">
        <v>2E-3</v>
      </c>
      <c r="K269">
        <v>22</v>
      </c>
      <c r="L269">
        <v>0</v>
      </c>
      <c r="M269">
        <v>5</v>
      </c>
    </row>
    <row r="270" spans="1:13" x14ac:dyDescent="0.4">
      <c r="A270" t="s">
        <v>53</v>
      </c>
      <c r="B270">
        <v>0.02</v>
      </c>
      <c r="C270">
        <v>100</v>
      </c>
      <c r="D270">
        <v>0.01</v>
      </c>
      <c r="E270">
        <v>78</v>
      </c>
      <c r="F270">
        <v>8.0000000000000002E-3</v>
      </c>
      <c r="G270">
        <v>58</v>
      </c>
      <c r="H270">
        <v>4.0000000000000001E-3</v>
      </c>
      <c r="I270">
        <v>40</v>
      </c>
      <c r="J270">
        <v>2E-3</v>
      </c>
      <c r="K270">
        <v>22</v>
      </c>
      <c r="L270">
        <v>0</v>
      </c>
      <c r="M270">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F305E-1D6E-4ECD-9C47-1A7E4ED4B908}">
  <dimension ref="A1:D46"/>
  <sheetViews>
    <sheetView topLeftCell="A25" workbookViewId="0"/>
  </sheetViews>
  <sheetFormatPr baseColWidth="10" defaultRowHeight="14.6" x14ac:dyDescent="0.4"/>
  <cols>
    <col min="1" max="1" width="32.3046875" customWidth="1"/>
    <col min="2" max="2" width="57.4609375" customWidth="1"/>
    <col min="3" max="3" width="41.3046875" customWidth="1"/>
    <col min="4" max="4" width="9.84375" customWidth="1"/>
  </cols>
  <sheetData>
    <row r="1" spans="1:3" ht="18.45" x14ac:dyDescent="0.5">
      <c r="A1" s="26" t="s">
        <v>357</v>
      </c>
    </row>
    <row r="2" spans="1:3" x14ac:dyDescent="0.4">
      <c r="A2" s="20" t="s">
        <v>341</v>
      </c>
    </row>
    <row r="4" spans="1:3" ht="15.9" x14ac:dyDescent="0.45">
      <c r="A4" s="62" t="s">
        <v>342</v>
      </c>
    </row>
    <row r="5" spans="1:3" x14ac:dyDescent="0.4">
      <c r="A5" t="s">
        <v>273</v>
      </c>
      <c r="B5" t="s">
        <v>343</v>
      </c>
    </row>
    <row r="6" spans="1:3" x14ac:dyDescent="0.4">
      <c r="A6" t="s">
        <v>274</v>
      </c>
      <c r="B6" t="s">
        <v>344</v>
      </c>
    </row>
    <row r="7" spans="1:3" x14ac:dyDescent="0.4">
      <c r="A7" t="s">
        <v>330</v>
      </c>
      <c r="B7" t="s">
        <v>345</v>
      </c>
    </row>
    <row r="9" spans="1:3" ht="15.9" x14ac:dyDescent="0.45">
      <c r="A9" s="62" t="s">
        <v>346</v>
      </c>
    </row>
    <row r="10" spans="1:3" x14ac:dyDescent="0.4">
      <c r="A10" s="5" t="s">
        <v>267</v>
      </c>
      <c r="B10" s="5" t="s">
        <v>347</v>
      </c>
      <c r="C10" s="5" t="s">
        <v>348</v>
      </c>
    </row>
    <row r="11" spans="1:3" x14ac:dyDescent="0.4">
      <c r="A11" t="s">
        <v>5</v>
      </c>
      <c r="B11" t="s">
        <v>326</v>
      </c>
      <c r="C11" t="s">
        <v>349</v>
      </c>
    </row>
    <row r="12" spans="1:3" x14ac:dyDescent="0.4">
      <c r="A12" t="s">
        <v>6</v>
      </c>
      <c r="B12" t="s">
        <v>331</v>
      </c>
      <c r="C12" t="s">
        <v>350</v>
      </c>
    </row>
    <row r="13" spans="1:3" x14ac:dyDescent="0.4">
      <c r="A13" t="s">
        <v>296</v>
      </c>
      <c r="B13" t="s">
        <v>358</v>
      </c>
      <c r="C13" t="s">
        <v>332</v>
      </c>
    </row>
    <row r="14" spans="1:3" x14ac:dyDescent="0.4">
      <c r="A14" t="s">
        <v>41</v>
      </c>
      <c r="B14" t="s">
        <v>359</v>
      </c>
      <c r="C14" t="s">
        <v>351</v>
      </c>
    </row>
    <row r="15" spans="1:3" x14ac:dyDescent="0.4">
      <c r="A15" t="s">
        <v>42</v>
      </c>
      <c r="B15" t="s">
        <v>360</v>
      </c>
      <c r="C15" t="s">
        <v>352</v>
      </c>
    </row>
    <row r="16" spans="1:3" x14ac:dyDescent="0.4">
      <c r="A16" t="s">
        <v>297</v>
      </c>
      <c r="B16" t="s">
        <v>333</v>
      </c>
      <c r="C16" t="s">
        <v>361</v>
      </c>
    </row>
    <row r="17" spans="1:3" x14ac:dyDescent="0.4">
      <c r="A17" s="63" t="s">
        <v>362</v>
      </c>
    </row>
    <row r="19" spans="1:3" ht="15.9" x14ac:dyDescent="0.45">
      <c r="A19" s="62" t="s">
        <v>353</v>
      </c>
    </row>
    <row r="20" spans="1:3" x14ac:dyDescent="0.4">
      <c r="A20" s="5" t="s">
        <v>275</v>
      </c>
      <c r="B20" s="5" t="s">
        <v>276</v>
      </c>
      <c r="C20" s="5" t="s">
        <v>354</v>
      </c>
    </row>
    <row r="21" spans="1:3" x14ac:dyDescent="0.4">
      <c r="A21" t="s">
        <v>334</v>
      </c>
      <c r="B21" t="s">
        <v>355</v>
      </c>
      <c r="C21" t="s">
        <v>335</v>
      </c>
    </row>
    <row r="22" spans="1:3" x14ac:dyDescent="0.4">
      <c r="A22" t="s">
        <v>277</v>
      </c>
      <c r="B22" t="s">
        <v>336</v>
      </c>
      <c r="C22" t="s">
        <v>337</v>
      </c>
    </row>
    <row r="23" spans="1:3" x14ac:dyDescent="0.4">
      <c r="A23" t="s">
        <v>327</v>
      </c>
      <c r="B23" t="s">
        <v>356</v>
      </c>
      <c r="C23" t="s">
        <v>338</v>
      </c>
    </row>
    <row r="24" spans="1:3" x14ac:dyDescent="0.4">
      <c r="A24" t="s">
        <v>328</v>
      </c>
      <c r="B24" t="s">
        <v>339</v>
      </c>
      <c r="C24" t="s">
        <v>340</v>
      </c>
    </row>
    <row r="25" spans="1:3" x14ac:dyDescent="0.4">
      <c r="A25" t="s">
        <v>329</v>
      </c>
      <c r="B25" t="s">
        <v>385</v>
      </c>
      <c r="C25" t="s">
        <v>386</v>
      </c>
    </row>
    <row r="26" spans="1:3" x14ac:dyDescent="0.4">
      <c r="A26" t="s">
        <v>387</v>
      </c>
      <c r="B26" t="s">
        <v>388</v>
      </c>
      <c r="C26" t="s">
        <v>389</v>
      </c>
    </row>
    <row r="27" spans="1:3" x14ac:dyDescent="0.4">
      <c r="A27" t="s">
        <v>390</v>
      </c>
      <c r="B27" t="s">
        <v>391</v>
      </c>
      <c r="C27" t="s">
        <v>392</v>
      </c>
    </row>
    <row r="28" spans="1:3" x14ac:dyDescent="0.4">
      <c r="A28" t="s">
        <v>393</v>
      </c>
      <c r="B28" t="s">
        <v>394</v>
      </c>
      <c r="C28" t="s">
        <v>395</v>
      </c>
    </row>
    <row r="29" spans="1:3" x14ac:dyDescent="0.4">
      <c r="A29" t="s">
        <v>396</v>
      </c>
      <c r="B29" t="s">
        <v>397</v>
      </c>
      <c r="C29" t="s">
        <v>279</v>
      </c>
    </row>
    <row r="30" spans="1:3" x14ac:dyDescent="0.4">
      <c r="A30" s="64" t="s">
        <v>398</v>
      </c>
    </row>
    <row r="32" spans="1:3" ht="15.9" x14ac:dyDescent="0.45">
      <c r="A32" s="62" t="s">
        <v>363</v>
      </c>
    </row>
    <row r="33" spans="1:4" x14ac:dyDescent="0.4">
      <c r="A33" s="5" t="s">
        <v>268</v>
      </c>
      <c r="B33" s="5" t="s">
        <v>276</v>
      </c>
      <c r="C33" s="5" t="s">
        <v>364</v>
      </c>
      <c r="D33" s="5" t="s">
        <v>267</v>
      </c>
    </row>
    <row r="34" spans="1:4" x14ac:dyDescent="0.4">
      <c r="A34" t="s">
        <v>365</v>
      </c>
      <c r="B34" t="s">
        <v>366</v>
      </c>
      <c r="C34" t="s">
        <v>367</v>
      </c>
      <c r="D34" t="s">
        <v>368</v>
      </c>
    </row>
    <row r="35" spans="1:4" x14ac:dyDescent="0.4">
      <c r="A35" t="s">
        <v>369</v>
      </c>
      <c r="B35" t="s">
        <v>370</v>
      </c>
      <c r="C35" t="s">
        <v>371</v>
      </c>
      <c r="D35" t="s">
        <v>372</v>
      </c>
    </row>
    <row r="36" spans="1:4" x14ac:dyDescent="0.4">
      <c r="A36" t="s">
        <v>373</v>
      </c>
      <c r="B36" t="s">
        <v>374</v>
      </c>
      <c r="C36" t="s">
        <v>375</v>
      </c>
      <c r="D36" t="s">
        <v>376</v>
      </c>
    </row>
    <row r="37" spans="1:4" x14ac:dyDescent="0.4">
      <c r="A37" t="s">
        <v>377</v>
      </c>
      <c r="B37" t="s">
        <v>378</v>
      </c>
      <c r="C37" t="s">
        <v>379</v>
      </c>
      <c r="D37" t="s">
        <v>380</v>
      </c>
    </row>
    <row r="38" spans="1:4" x14ac:dyDescent="0.4">
      <c r="A38" t="s">
        <v>381</v>
      </c>
      <c r="B38" t="s">
        <v>382</v>
      </c>
      <c r="C38" t="s">
        <v>383</v>
      </c>
      <c r="D38" t="s">
        <v>384</v>
      </c>
    </row>
    <row r="39" spans="1:4" x14ac:dyDescent="0.4">
      <c r="A39" t="s">
        <v>399</v>
      </c>
      <c r="B39" t="s">
        <v>400</v>
      </c>
      <c r="C39" t="s">
        <v>401</v>
      </c>
      <c r="D39" t="s">
        <v>402</v>
      </c>
    </row>
    <row r="41" spans="1:4" ht="15.9" x14ac:dyDescent="0.45">
      <c r="A41" s="62" t="s">
        <v>403</v>
      </c>
    </row>
    <row r="42" spans="1:4" x14ac:dyDescent="0.4">
      <c r="A42" s="5" t="s">
        <v>270</v>
      </c>
      <c r="B42" s="5" t="s">
        <v>404</v>
      </c>
      <c r="C42" s="5" t="s">
        <v>269</v>
      </c>
    </row>
    <row r="43" spans="1:4" x14ac:dyDescent="0.4">
      <c r="A43" t="s">
        <v>271</v>
      </c>
      <c r="B43" t="s">
        <v>405</v>
      </c>
      <c r="C43" t="s">
        <v>406</v>
      </c>
    </row>
    <row r="44" spans="1:4" x14ac:dyDescent="0.4">
      <c r="A44" t="s">
        <v>407</v>
      </c>
      <c r="B44" t="s">
        <v>408</v>
      </c>
      <c r="C44" t="s">
        <v>409</v>
      </c>
    </row>
    <row r="45" spans="1:4" x14ac:dyDescent="0.4">
      <c r="A45" t="s">
        <v>272</v>
      </c>
      <c r="B45" t="s">
        <v>410</v>
      </c>
      <c r="C45" t="s">
        <v>411</v>
      </c>
    </row>
    <row r="46" spans="1:4" x14ac:dyDescent="0.4">
      <c r="A46" s="63" t="s">
        <v>412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43</vt:i4>
      </vt:variant>
    </vt:vector>
  </HeadingPairs>
  <TitlesOfParts>
    <vt:vector size="50" baseType="lpstr">
      <vt:lpstr>Generic Scoring</vt:lpstr>
      <vt:lpstr>Generic Dashboard</vt:lpstr>
      <vt:lpstr>DCF Simplified</vt:lpstr>
      <vt:lpstr>Rebalancing</vt:lpstr>
      <vt:lpstr>Score History</vt:lpstr>
      <vt:lpstr>Generic Parameters</vt:lpstr>
      <vt:lpstr>Guia del Modelo</vt:lpstr>
      <vt:lpstr>GP_BY_Sectors</vt:lpstr>
      <vt:lpstr>GP_BY_T</vt:lpstr>
      <vt:lpstr>GP_CR_Sectors</vt:lpstr>
      <vt:lpstr>GP_CR_T</vt:lpstr>
      <vt:lpstr>GP_CX_Sectors</vt:lpstr>
      <vt:lpstr>GP_CX_T</vt:lpstr>
      <vt:lpstr>GP_DY_Sectors</vt:lpstr>
      <vt:lpstr>GP_DY_T</vt:lpstr>
      <vt:lpstr>GP_EG_Sectors</vt:lpstr>
      <vt:lpstr>GP_EG_T</vt:lpstr>
      <vt:lpstr>GP_EV_Sectors</vt:lpstr>
      <vt:lpstr>GP_EV_T</vt:lpstr>
      <vt:lpstr>GP_FM_Sectors</vt:lpstr>
      <vt:lpstr>GP_FM_T</vt:lpstr>
      <vt:lpstr>GP_FN_Sectors</vt:lpstr>
      <vt:lpstr>GP_FN_T</vt:lpstr>
      <vt:lpstr>GP_IC_Sectors</vt:lpstr>
      <vt:lpstr>GP_IC_T</vt:lpstr>
      <vt:lpstr>GP_ND_Sectors</vt:lpstr>
      <vt:lpstr>GP_ND_T</vt:lpstr>
      <vt:lpstr>GP_NM_Sectors</vt:lpstr>
      <vt:lpstr>GP_NM_T</vt:lpstr>
      <vt:lpstr>GP_OL_Sectors</vt:lpstr>
      <vt:lpstr>GP_OL_T</vt:lpstr>
      <vt:lpstr>GP_PE_Sectors</vt:lpstr>
      <vt:lpstr>GP_PE_T</vt:lpstr>
      <vt:lpstr>GP_PF_Sectors</vt:lpstr>
      <vt:lpstr>GP_PF_T</vt:lpstr>
      <vt:lpstr>GP_PR_Sectors</vt:lpstr>
      <vt:lpstr>GP_PR_T</vt:lpstr>
      <vt:lpstr>GP_RG_Sectors</vt:lpstr>
      <vt:lpstr>GP_RG_T</vt:lpstr>
      <vt:lpstr>GP_ROE_Sectors</vt:lpstr>
      <vt:lpstr>GP_ROE_T</vt:lpstr>
      <vt:lpstr>GP_ROIC_Sectors</vt:lpstr>
      <vt:lpstr>GP_ROIC_T</vt:lpstr>
      <vt:lpstr>GP_W_P1</vt:lpstr>
      <vt:lpstr>GP_W_P2</vt:lpstr>
      <vt:lpstr>GP_W_P3</vt:lpstr>
      <vt:lpstr>GP_W_P4</vt:lpstr>
      <vt:lpstr>GP_W_P5</vt:lpstr>
      <vt:lpstr>GP_W_P6</vt:lpstr>
      <vt:lpstr>GP_Weights_Sectors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Pinillos</dc:creator>
  <cp:lastModifiedBy>Francisco Pinillos</cp:lastModifiedBy>
  <dcterms:created xsi:type="dcterms:W3CDTF">2026-02-13T09:35:46Z</dcterms:created>
  <dcterms:modified xsi:type="dcterms:W3CDTF">2026-03-27T10:31:21Z</dcterms:modified>
</cp:coreProperties>
</file>