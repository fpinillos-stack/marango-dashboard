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7369afe0b533fe/Escritorio/IA OS/Bloque 5 - Market Regime/"/>
    </mc:Choice>
  </mc:AlternateContent>
  <xr:revisionPtr revIDLastSave="4488" documentId="8_{A07A56FC-0D09-4642-9016-B94A966106F8}" xr6:coauthVersionLast="47" xr6:coauthVersionMax="47" xr10:uidLastSave="{7228EB68-45F8-49DE-ADEA-A43CD6AE75BC}"/>
  <bookViews>
    <workbookView xWindow="-103" yWindow="-103" windowWidth="19543" windowHeight="12377" firstSheet="2" activeTab="4" xr2:uid="{845E4A13-AA00-4636-8E8F-809992E1E4CB}"/>
  </bookViews>
  <sheets>
    <sheet name="B5 - Market Regime" sheetId="2" r:id="rId1"/>
    <sheet name="Historical Log" sheetId="3" r:id="rId2"/>
    <sheet name="📖 Indicator Guide" sheetId="4" r:id="rId3"/>
    <sheet name="📋 Sources" sheetId="5" r:id="rId4"/>
    <sheet name="📊 Backtest" sheetId="6" r:id="rId5"/>
    <sheet name="🔗 B1↔B5 Bridge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2" i="2" l="1"/>
  <c r="M66" i="2"/>
  <c r="E32" i="2"/>
  <c r="E31" i="2"/>
  <c r="J67" i="2" l="1"/>
  <c r="I66" i="2"/>
  <c r="K66" i="2" s="1"/>
  <c r="H66" i="2"/>
  <c r="J13" i="2"/>
  <c r="I11" i="2"/>
  <c r="K11" i="2" s="1"/>
  <c r="H11" i="2"/>
  <c r="I7" i="2"/>
  <c r="H7" i="2"/>
  <c r="F35" i="2"/>
  <c r="F34" i="2"/>
  <c r="F33" i="2"/>
  <c r="S5" i="3" l="1"/>
  <c r="R5" i="3"/>
  <c r="Q5" i="3"/>
  <c r="P5" i="3"/>
  <c r="M65" i="2"/>
  <c r="N65" i="2" s="1"/>
  <c r="I65" i="2"/>
  <c r="K65" i="2" s="1"/>
  <c r="H65" i="2"/>
  <c r="M64" i="2"/>
  <c r="N64" i="2" s="1"/>
  <c r="I64" i="2"/>
  <c r="K64" i="2" s="1"/>
  <c r="H64" i="2"/>
  <c r="M63" i="2"/>
  <c r="N63" i="2" s="1"/>
  <c r="I63" i="2"/>
  <c r="K63" i="2" s="1"/>
  <c r="H63" i="2"/>
  <c r="M62" i="2"/>
  <c r="N62" i="2" s="1"/>
  <c r="I62" i="2"/>
  <c r="K62" i="2" s="1"/>
  <c r="H62" i="2"/>
  <c r="H10" i="2"/>
  <c r="H9" i="2"/>
  <c r="H8" i="2"/>
  <c r="O5" i="3"/>
  <c r="N5" i="3"/>
  <c r="M5" i="3"/>
  <c r="K5" i="3"/>
  <c r="J5" i="3"/>
  <c r="I5" i="3"/>
  <c r="H5" i="3"/>
  <c r="F5" i="3"/>
  <c r="E5" i="3"/>
  <c r="D5" i="3"/>
  <c r="C5" i="3"/>
  <c r="M61" i="2"/>
  <c r="N61" i="2" s="1"/>
  <c r="M60" i="2"/>
  <c r="N60" i="2" s="1"/>
  <c r="M59" i="2"/>
  <c r="N59" i="2" s="1"/>
  <c r="M58" i="2"/>
  <c r="N58" i="2" s="1"/>
  <c r="M57" i="2"/>
  <c r="N57" i="2" s="1"/>
  <c r="M56" i="2"/>
  <c r="N56" i="2" s="1"/>
  <c r="L46" i="2"/>
  <c r="M46" i="2" s="1"/>
  <c r="L45" i="2"/>
  <c r="M45" i="2" s="1"/>
  <c r="L44" i="2"/>
  <c r="M44" i="2" s="1"/>
  <c r="L43" i="2"/>
  <c r="M43" i="2" s="1"/>
  <c r="L42" i="2"/>
  <c r="M42" i="2" s="1"/>
  <c r="L41" i="2"/>
  <c r="M41" i="2" s="1"/>
  <c r="I10" i="2"/>
  <c r="K10" i="2" s="1"/>
  <c r="I9" i="2"/>
  <c r="K9" i="2" s="1"/>
  <c r="I8" i="2"/>
  <c r="E27" i="2"/>
  <c r="C83" i="2" s="1"/>
  <c r="F24" i="2"/>
  <c r="D24" i="2"/>
  <c r="M10" i="2"/>
  <c r="N10" i="2" s="1"/>
  <c r="M9" i="2"/>
  <c r="N9" i="2" s="1"/>
  <c r="M8" i="2"/>
  <c r="N8" i="2" s="1"/>
  <c r="M7" i="2"/>
  <c r="N7" i="2" s="1"/>
  <c r="I59" i="2"/>
  <c r="K59" i="2" s="1"/>
  <c r="H59" i="2"/>
  <c r="I61" i="2"/>
  <c r="K61" i="2" s="1"/>
  <c r="H61" i="2"/>
  <c r="I60" i="2"/>
  <c r="K60" i="2" s="1"/>
  <c r="H60" i="2"/>
  <c r="I58" i="2"/>
  <c r="K58" i="2" s="1"/>
  <c r="H58" i="2"/>
  <c r="I57" i="2"/>
  <c r="K57" i="2" s="1"/>
  <c r="H57" i="2"/>
  <c r="I56" i="2"/>
  <c r="K56" i="2" s="1"/>
  <c r="H56" i="2"/>
  <c r="J46" i="2"/>
  <c r="I46" i="2"/>
  <c r="F46" i="2"/>
  <c r="H46" i="2" s="1"/>
  <c r="J45" i="2"/>
  <c r="I45" i="2"/>
  <c r="F45" i="2"/>
  <c r="H45" i="2" s="1"/>
  <c r="J44" i="2"/>
  <c r="I44" i="2"/>
  <c r="F44" i="2"/>
  <c r="H44" i="2" s="1"/>
  <c r="F42" i="2"/>
  <c r="I42" i="2" s="1"/>
  <c r="J41" i="2"/>
  <c r="F41" i="2"/>
  <c r="I41" i="2" s="1"/>
  <c r="E30" i="2"/>
  <c r="E29" i="2"/>
  <c r="E28" i="2"/>
  <c r="K67" i="2" l="1"/>
  <c r="I67" i="2"/>
  <c r="C18" i="2"/>
  <c r="C19" i="2"/>
  <c r="I43" i="2"/>
  <c r="F43" i="2"/>
  <c r="H43" i="2" s="1"/>
  <c r="J43" i="2"/>
  <c r="H42" i="2"/>
  <c r="H41" i="2"/>
  <c r="K8" i="2"/>
  <c r="K7" i="2"/>
  <c r="K13" i="2" l="1"/>
  <c r="I13" i="2"/>
  <c r="C81" i="2"/>
  <c r="E81" i="2" s="1"/>
  <c r="T5" i="3"/>
  <c r="C71" i="2"/>
  <c r="C70" i="2"/>
  <c r="H47" i="2"/>
  <c r="F47" i="2"/>
  <c r="L5" i="3" s="1"/>
  <c r="G5" i="3" l="1"/>
  <c r="C16" i="2"/>
  <c r="F81" i="2"/>
  <c r="C79" i="2"/>
  <c r="C80" i="2"/>
  <c r="D87" i="2" s="1"/>
  <c r="C50" i="2"/>
  <c r="I47" i="2"/>
  <c r="C51" i="2"/>
  <c r="J47" i="2"/>
  <c r="C17" i="2"/>
  <c r="F79" i="2" l="1"/>
  <c r="B87" i="2"/>
  <c r="E79" i="2"/>
  <c r="F80" i="2"/>
  <c r="E80" i="2"/>
  <c r="C82" i="2" l="1"/>
  <c r="C21" i="2" s="1"/>
  <c r="B92" i="2"/>
  <c r="B90" i="2"/>
  <c r="B89" i="2"/>
  <c r="F88" i="2"/>
  <c r="B88" i="2"/>
  <c r="F87" i="2"/>
  <c r="E82" i="2"/>
  <c r="H101" i="2" l="1"/>
  <c r="H100" i="2"/>
  <c r="H99" i="2"/>
  <c r="H104" i="2"/>
  <c r="H98" i="2"/>
  <c r="H97" i="2"/>
  <c r="H96" i="2"/>
  <c r="B109" i="2"/>
  <c r="H103" i="2"/>
  <c r="H102" i="2"/>
  <c r="B108" i="2"/>
  <c r="H105" i="2"/>
  <c r="C84" i="2"/>
  <c r="I82" i="2"/>
  <c r="V5" i="3" s="1"/>
  <c r="W5" i="3"/>
  <c r="B111" i="2"/>
  <c r="B110" i="2"/>
  <c r="U5" i="3"/>
  <c r="F8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PINILLOS</author>
  </authors>
  <commentList>
    <comment ref="C7" authorId="0" shapeId="0" xr:uid="{21399158-61C8-44F3-BABF-B7426CEAE84C}">
      <text>
        <r>
          <rPr>
            <b/>
            <sz val="9"/>
            <color indexed="81"/>
            <rFont val="Tahoma"/>
            <family val="2"/>
          </rPr>
          <t>Source: CBOE/Yahoo Finance, VIX close 26.78 on 20-Mar-2026
https://www.cboe.com/tradable-products/vix/</t>
        </r>
      </text>
    </comment>
    <comment ref="L7" authorId="0" shapeId="0" xr:uid="{F89F89F5-98B5-4D3B-AE90-B68647D3948D}">
      <text>
        <r>
          <rPr>
            <b/>
            <sz val="9"/>
            <color indexed="81"/>
            <rFont val="Tahoma"/>
            <family val="2"/>
          </rPr>
          <t>Previous value from 18-Mar-2026 update</t>
        </r>
      </text>
    </comment>
    <comment ref="C8" authorId="0" shapeId="0" xr:uid="{32C78D61-3929-412D-873A-EA36954BA302}">
      <text>
        <r>
          <rPr>
            <b/>
            <sz val="9"/>
            <color indexed="81"/>
            <rFont val="Tahoma"/>
            <family val="2"/>
          </rPr>
          <t>Source: FRED, ICE BofA HY OAS 3.20% = 320bps on 20-Mar-2026
https://fred.stlouisfed.org/series/BAMLH0A0HYM2</t>
        </r>
      </text>
    </comment>
    <comment ref="L8" authorId="0" shapeId="0" xr:uid="{B1EDEEDD-A55A-4BC5-BC21-CF40DF606625}">
      <text>
        <r>
          <rPr>
            <b/>
            <sz val="9"/>
            <color indexed="81"/>
            <rFont val="Tahoma"/>
            <family val="2"/>
          </rPr>
          <t>Previous value from 18-Mar-2026 update</t>
        </r>
      </text>
    </comment>
    <comment ref="C9" authorId="0" shapeId="0" xr:uid="{EA5946CE-30DB-4155-84A9-38780AD7ABC8}">
      <text>
        <r>
          <rPr>
            <b/>
            <sz val="9"/>
            <color indexed="81"/>
            <rFont val="Tahoma"/>
            <family val="2"/>
          </rPr>
          <t>Source: yCharts, CBOE Equity Put/Call Ratio ~0.58 (unchanged, latest available)
https://ycharts.com/indicators/cboe_equity_put_call_ratio</t>
        </r>
      </text>
    </comment>
    <comment ref="L9" authorId="0" shapeId="0" xr:uid="{AE7C9C39-B821-4351-8D7F-19665AC31894}">
      <text>
        <r>
          <rPr>
            <b/>
            <sz val="9"/>
            <color indexed="81"/>
            <rFont val="Tahoma"/>
            <family val="2"/>
          </rPr>
          <t>Previous value from 18-Mar-2026 update</t>
        </r>
      </text>
    </comment>
    <comment ref="C10" authorId="0" shapeId="0" xr:uid="{9FD134CD-C4EF-47B8-9C9B-5DA91B0A7FCE}">
      <text>
        <r>
          <rPr>
            <b/>
            <sz val="9"/>
            <color indexed="81"/>
            <rFont val="Tahoma"/>
            <family val="2"/>
          </rPr>
          <t>Source: Estimated from market breadth data, ~42% of S&amp;P 500 above 200d MA on 20-Mar-2026
https://streetstats.finance/markets/breadth-momentum/SP500</t>
        </r>
      </text>
    </comment>
    <comment ref="L10" authorId="0" shapeId="0" xr:uid="{20A40463-8354-46F1-9228-7BAE8CDEFE93}">
      <text>
        <r>
          <rPr>
            <b/>
            <sz val="9"/>
            <color indexed="81"/>
            <rFont val="Tahoma"/>
            <family val="2"/>
          </rPr>
          <t>Previous value from 18-Mar-2026 update</t>
        </r>
      </text>
    </comment>
    <comment ref="C11" authorId="0" shapeId="0" xr:uid="{5A514EA9-BD37-483D-9699-815AD3E35364}">
      <text>
        <r>
          <rPr>
            <b/>
            <sz val="9"/>
            <color indexed="81"/>
            <rFont val="Tahoma"/>
            <family val="2"/>
          </rPr>
          <t>Source: Estimated VIX/VIX3M ~1.05, VIX spiked to 26.78 in backwardation on 20-Mar-2026
https://www.cboe.com/tradable-products/vix/term-structure/</t>
        </r>
      </text>
    </comment>
    <comment ref="L11" authorId="0" shapeId="0" xr:uid="{523551B2-33F3-4DBE-BA75-AF803EA4EEFD}">
      <text>
        <r>
          <rPr>
            <b/>
            <sz val="9"/>
            <color indexed="81"/>
            <rFont val="Tahoma"/>
            <family val="2"/>
          </rPr>
          <t>Previous value from 18-Mar-2026 update</t>
        </r>
      </text>
    </comment>
    <comment ref="C24" authorId="0" shapeId="0" xr:uid="{E2DC35B2-88A4-4646-8470-0C6400EE89D7}">
      <text>
        <r>
          <rPr>
            <b/>
            <sz val="9"/>
            <color indexed="81"/>
            <rFont val="Tahoma"/>
            <family val="2"/>
          </rPr>
          <t>MANUAL: Incrementado de 8 a 9 semanas en régimen actual (18-Mar-2026).
Si régimen se mantiene: incrementa +1 cada semana.
Si régimen cambió: resetea a 0.</t>
        </r>
      </text>
    </comment>
    <comment ref="D27" authorId="0" shapeId="0" xr:uid="{C4EA7B5B-CD80-4860-A6A2-BC38A3DC8DAE}">
      <text>
        <r>
          <rPr>
            <b/>
            <sz val="9"/>
            <color indexed="81"/>
            <rFont val="Tahoma"/>
          </rPr>
          <t>Source: CBOE/Yahoo Finance, VIX close 26.78 on 20-Mar-2026
https://www.cboe.com/tradable-products/vix/</t>
        </r>
      </text>
    </comment>
    <comment ref="D28" authorId="0" shapeId="0" xr:uid="{E6FC872B-6390-41D3-BD99-E0554DDA7D4A}">
      <text>
        <r>
          <rPr>
            <b/>
            <sz val="9"/>
            <color indexed="81"/>
            <rFont val="Tahoma"/>
          </rPr>
          <t>Source: FRED, ICE BofA HY OAS 3.20% = 320bps on 20-Mar-2026
https://fred.stlouisfed.org/series/BAMLH0A0HYM2</t>
        </r>
      </text>
    </comment>
    <comment ref="D29" authorId="0" shapeId="0" xr:uid="{DB1F763E-8E03-46F3-B9A4-B8F56BE1AD24}">
      <text>
        <r>
          <rPr>
            <b/>
            <sz val="9"/>
            <color indexed="81"/>
            <rFont val="Tahoma"/>
          </rPr>
          <t>FRANCISCO PINILLOS:</t>
        </r>
        <r>
          <rPr>
            <sz val="9"/>
            <color indexed="81"/>
            <rFont val="Tahoma"/>
          </rPr>
          <t xml:space="preserve">
Source: yCharts, CBOE Equity Put/Call Ratio ~0.58 on 20-Mar-2026
https://ycharts.com/indicators/cboe_equity_put_call_ratio</t>
        </r>
      </text>
    </comment>
    <comment ref="D30" authorId="0" shapeId="0" xr:uid="{D00CF49B-41F0-4F76-B93D-D4D071B9C8F7}">
      <text>
        <r>
          <rPr>
            <b/>
            <sz val="9"/>
            <color indexed="81"/>
            <rFont val="Tahoma"/>
          </rPr>
          <t>FRANCISCO PINILLOS:</t>
        </r>
        <r>
          <rPr>
            <sz val="9"/>
            <color indexed="81"/>
            <rFont val="Tahoma"/>
          </rPr>
          <t xml:space="preserve">
Source: S&amp;P 500 breadth ~42% above 200d MA on 20-Mar-2026
https://streetstats.finance/markets/breadth-momentum/SP500</t>
        </r>
      </text>
    </comment>
    <comment ref="D31" authorId="0" shapeId="0" xr:uid="{7576131C-303F-4C4D-AA3D-36DE62E5E229}">
      <text>
        <r>
          <rPr>
            <b/>
            <sz val="9"/>
            <color indexed="81"/>
            <rFont val="Tahoma"/>
          </rPr>
          <t>FRANCISCO PINILLOS:</t>
        </r>
        <r>
          <rPr>
            <sz val="9"/>
            <color indexed="81"/>
            <rFont val="Tahoma"/>
          </rPr>
          <t xml:space="preserve">
Source: OilPrice.com, WTI $98.23 on 20-Mar-2026
https://oilprice.com/futures/wti/</t>
        </r>
      </text>
    </comment>
    <comment ref="E31" authorId="0" shapeId="0" xr:uid="{E3D361E2-3A91-4D1C-8D0F-C652AA6B74E5}">
      <text>
        <r>
          <rPr>
            <b/>
            <sz val="9"/>
            <color indexed="81"/>
            <rFont val="Tahoma"/>
            <family val="2"/>
          </rPr>
          <t>TRIGGER REAL (Override). Hit rate histórico: 86% (6/7). WTI ≥$100 precedió corrección o bear market en 6 de 7 ocasiones (2008, 2011, 2012, 2014, 2022x2). Mecanismo: ↑costes → ↓márgenes → ↓earnings.</t>
        </r>
      </text>
    </comment>
    <comment ref="D32" authorId="0" shapeId="0" xr:uid="{DA1AC258-443E-4579-8329-4DB0B10725AE}">
      <text>
        <r>
          <rPr>
            <b/>
            <sz val="9"/>
            <color indexed="81"/>
            <rFont val="Tahoma"/>
          </rPr>
          <t>Source: OilPrice.com, WTI $98.23 on 20-Mar-2026
https://oilprice.com/futures/wti/</t>
        </r>
      </text>
    </comment>
    <comment ref="E32" authorId="0" shapeId="0" xr:uid="{9A80EFD3-A1C8-40BC-B945-1324C1C4A400}">
      <text>
        <r>
          <rPr>
            <b/>
            <sz val="9"/>
            <color indexed="81"/>
            <rFont val="Tahoma"/>
            <family val="2"/>
          </rPr>
          <t>FRANCISCO PINILLOS:</t>
        </r>
        <r>
          <rPr>
            <sz val="9"/>
            <color indexed="81"/>
            <rFont val="Tahoma"/>
            <family val="2"/>
          </rPr>
          <t xml:space="preserve">
ESCALONADO: 4.5-4.99% = ⚠️ INFORMATIVO (restringe compras a Core A+). ≥5.0% = 🔴 TRIGGER real (Override). Hit rate: 4.5% = 57%, 5.0% = 100% (2/2: 2007, Oct 2023).</t>
        </r>
      </text>
    </comment>
    <comment ref="C33" authorId="0" shapeId="0" xr:uid="{3251CD83-1EA8-47A0-BF65-2F5F9C2ADF7F}">
      <text>
        <r>
          <rPr>
            <b/>
            <sz val="9"/>
            <color indexed="81"/>
            <rFont val="Tahoma"/>
            <family val="2"/>
          </rPr>
          <t>Source: OilPrice.com, WTI front-month $98.23 on 20-Mar-2026
https://oilprice.com/futures/wti/</t>
        </r>
      </text>
    </comment>
    <comment ref="D33" authorId="0" shapeId="0" xr:uid="{04311D1F-C204-43E9-B606-4EFB22261D8A}">
      <text>
        <r>
          <rPr>
            <b/>
            <sz val="9"/>
            <color indexed="81"/>
            <rFont val="Tahoma"/>
          </rPr>
          <t>Source: FRED, US 10Y yield 4.39% on 20-Mar-2026
https://fred.stlouisfed.org/series/DGS10</t>
        </r>
      </text>
    </comment>
    <comment ref="E33" authorId="0" shapeId="0" xr:uid="{3F71CADA-A3C6-4112-AB92-03EA380FC5C3}">
      <text>
        <r>
          <rPr>
            <b/>
            <sz val="9"/>
            <color indexed="81"/>
            <rFont val="Tahoma"/>
            <family val="2"/>
          </rPr>
          <t>WTI ~$63.5 early Feb 2026 (pre-Iran strikes)</t>
        </r>
      </text>
    </comment>
    <comment ref="C34" authorId="0" shapeId="0" xr:uid="{588F5813-2DE8-4E34-A40B-D6D7F03F05E0}">
      <text>
        <r>
          <rPr>
            <b/>
            <sz val="9"/>
            <color indexed="81"/>
            <rFont val="Tahoma"/>
            <family val="2"/>
          </rPr>
          <t>Source: Trading Economics, DXY 99.50 on 20-Mar-2026
https://tradingeconomics.com/united-states/currency</t>
        </r>
      </text>
    </comment>
    <comment ref="E34" authorId="0" shapeId="0" xr:uid="{5DB7DDCF-0474-4F45-A06A-96FF22F56A29}">
      <text>
        <r>
          <rPr>
            <b/>
            <sz val="9"/>
            <color indexed="81"/>
            <rFont val="Tahoma"/>
            <family val="2"/>
          </rPr>
          <t>DXY ~96.5 early Feb 2026 (pre-Iran strikes)</t>
        </r>
      </text>
    </comment>
    <comment ref="C35" authorId="0" shapeId="0" xr:uid="{5CD6A471-7264-4723-8413-037B2F2AFF44}">
      <text>
        <r>
          <rPr>
            <b/>
            <sz val="9"/>
            <color indexed="81"/>
            <rFont val="Tahoma"/>
            <family val="2"/>
          </rPr>
          <t>Source: FRED/Advisor Perspectives, US 10Y yield 4.39% on 20-Mar-2026
https://fred.stlouisfed.org/series/DGS10</t>
        </r>
      </text>
    </comment>
    <comment ref="E35" authorId="0" shapeId="0" xr:uid="{1985AB44-17B8-4358-AB0A-183C70E1DCC0}">
      <text>
        <r>
          <rPr>
            <b/>
            <sz val="9"/>
            <color indexed="81"/>
            <rFont val="Tahoma"/>
            <family val="2"/>
          </rPr>
          <t>10Y yield ~3.95% late Feb 2026</t>
        </r>
      </text>
    </comment>
    <comment ref="C36" authorId="0" shapeId="0" xr:uid="{4F4E36DD-714D-42F1-AB8A-CCF9DA41FC6C}">
      <text>
        <r>
          <rPr>
            <b/>
            <sz val="9"/>
            <color indexed="81"/>
            <rFont val="Tahoma"/>
          </rPr>
          <t>FRANCISCO PINILLOS:</t>
        </r>
        <r>
          <rPr>
            <sz val="9"/>
            <color indexed="81"/>
            <rFont val="Tahoma"/>
          </rPr>
          <t xml:space="preserve">
Source: Trading Economics, DXY 99.50 on 18-Mar-2026</t>
        </r>
      </text>
    </comment>
    <comment ref="E36" authorId="0" shapeId="0" xr:uid="{93D28071-C709-4944-9ABE-77B161E98056}">
      <text>
        <r>
          <rPr>
            <b/>
            <sz val="9"/>
            <color indexed="81"/>
            <rFont val="Tahoma"/>
            <family val="2"/>
          </rPr>
          <t>FRANCISCO PINILLOS:</t>
        </r>
        <r>
          <rPr>
            <sz val="9"/>
            <color indexed="81"/>
            <rFont val="Tahoma"/>
            <family val="2"/>
          </rPr>
          <t xml:space="preserve">
DXY ~96.5 late Feb 2026</t>
        </r>
      </text>
    </comment>
    <comment ref="C37" authorId="0" shapeId="0" xr:uid="{071E15F7-DA01-4832-AEBC-77483D462F98}">
      <text>
        <r>
          <rPr>
            <b/>
            <sz val="9"/>
            <color indexed="81"/>
            <rFont val="Tahoma"/>
          </rPr>
          <t>Source: Advisor Perspectives/FRED, US 10Y yield 4.39% on 20-Mar-2026
https://fred.stlouisfed.org/series/DGS10</t>
        </r>
      </text>
    </comment>
    <comment ref="B41" authorId="0" shapeId="0" xr:uid="{D077B7DD-B291-4726-8B70-099C299BDA22}">
      <text>
        <r>
          <rPr>
            <b/>
            <sz val="9"/>
            <color indexed="81"/>
            <rFont val="Tahoma"/>
            <family val="2"/>
          </rPr>
          <t>Source: Yahoo Finance, S&amp;P 500 close 20-Mar-2026
https://finance.yahoo.com/quote/%5EGSPC/</t>
        </r>
      </text>
    </comment>
    <comment ref="C41" authorId="0" shapeId="0" xr:uid="{D268781F-5E59-4EC2-89A6-7486B9EDBCCD}">
      <text>
        <r>
          <rPr>
            <b/>
            <sz val="9"/>
            <color indexed="81"/>
            <rFont val="Tahoma"/>
            <family val="2"/>
          </rPr>
          <t>Source: Investing.com, 200-Day SMA 20-Mar-2026
https://www.investing.com/indices/us-spx-500-technical</t>
        </r>
      </text>
    </comment>
    <comment ref="K41" authorId="0" shapeId="0" xr:uid="{3C287C81-863F-430D-A9A7-6F66CE7663AF}">
      <text>
        <r>
          <rPr>
            <b/>
            <sz val="9"/>
            <color indexed="81"/>
            <rFont val="Tahoma"/>
            <family val="2"/>
          </rPr>
          <t>Previous S&amp;P 500 from 18-Mar-2026</t>
        </r>
      </text>
    </comment>
    <comment ref="B42" authorId="0" shapeId="0" xr:uid="{8720A9FD-0FB7-4FA1-86E5-F6638EA920ED}">
      <text>
        <r>
          <rPr>
            <b/>
            <sz val="9"/>
            <color indexed="81"/>
            <rFont val="Tahoma"/>
            <family val="2"/>
          </rPr>
          <t>Source: Yahoo Finance, S&amp;P 500 close 20-Mar-2026
https://finance.yahoo.com/quote/%5EGSPC/</t>
        </r>
      </text>
    </comment>
    <comment ref="C42" authorId="0" shapeId="0" xr:uid="{640E6A29-92D9-4F14-A995-98CEFA1747D9}">
      <text>
        <r>
          <rPr>
            <b/>
            <sz val="9"/>
            <color indexed="81"/>
            <rFont val="Tahoma"/>
            <family val="2"/>
          </rPr>
          <t>Source: Investing.com, 50-Day SMA 20-Mar-2026
https://www.investing.com/indices/us-spx-500-technical</t>
        </r>
      </text>
    </comment>
    <comment ref="K42" authorId="0" shapeId="0" xr:uid="{DD4BA1A9-F0F2-4053-B20D-EA856067C9FE}">
      <text>
        <r>
          <rPr>
            <b/>
            <sz val="9"/>
            <color indexed="81"/>
            <rFont val="Tahoma"/>
            <family val="2"/>
          </rPr>
          <t>Previous S&amp;P 500 from 18-Mar-2026</t>
        </r>
      </text>
    </comment>
    <comment ref="B43" authorId="0" shapeId="0" xr:uid="{157CAFBE-FCBF-41CC-BDF2-A552BAC2EE79}">
      <text>
        <r>
          <rPr>
            <b/>
            <sz val="9"/>
            <color indexed="81"/>
            <rFont val="Tahoma"/>
            <family val="2"/>
          </rPr>
          <t>Source: Investing.com, S&amp;P 500 50-Day SMA on 20-Mar-2026
https://www.investing.com/indices/us-spx-500-technical</t>
        </r>
      </text>
    </comment>
    <comment ref="C43" authorId="0" shapeId="0" xr:uid="{3033D3B3-70AB-4E60-98C8-80C01C7BC45D}">
      <text>
        <r>
          <rPr>
            <b/>
            <sz val="9"/>
            <color indexed="81"/>
            <rFont val="Tahoma"/>
            <family val="2"/>
          </rPr>
          <t>Source: Investing.com, 200-Day SMA on 20-Mar-2026
https://www.investing.com/indices/us-spx-500-technical</t>
        </r>
      </text>
    </comment>
    <comment ref="K43" authorId="0" shapeId="0" xr:uid="{3F2842CC-12D5-4ABC-9ABC-5645ABD33EC8}">
      <text>
        <r>
          <rPr>
            <b/>
            <sz val="9"/>
            <color indexed="81"/>
            <rFont val="Tahoma"/>
            <family val="2"/>
          </rPr>
          <t>Previous MA-50 from 18-Mar-2026</t>
        </r>
      </text>
    </comment>
    <comment ref="B44" authorId="0" shapeId="0" xr:uid="{90B7C128-7D2C-40DC-959B-395F45A43D88}">
      <text>
        <r>
          <rPr>
            <b/>
            <sz val="9"/>
            <color indexed="81"/>
            <rFont val="Tahoma"/>
            <family val="2"/>
          </rPr>
          <t>Source: Investing.com, S&amp;P 500 RSI(14) 23.341 on 20-Mar-2026
https://www.investing.com/indices/us-spx-500-technical</t>
        </r>
      </text>
    </comment>
    <comment ref="K44" authorId="0" shapeId="0" xr:uid="{CFB408CE-0B03-42CD-86AD-943F739F514A}">
      <text>
        <r>
          <rPr>
            <b/>
            <sz val="9"/>
            <color indexed="81"/>
            <rFont val="Tahoma"/>
            <family val="2"/>
          </rPr>
          <t>Previous RSI from 18-Mar-2026</t>
        </r>
      </text>
    </comment>
    <comment ref="B45" authorId="0" shapeId="0" xr:uid="{03CEAE38-0C9D-4BF2-877C-6222AD98F3F9}">
      <text>
        <r>
          <rPr>
            <b/>
            <sz val="9"/>
            <color indexed="81"/>
            <rFont val="Tahoma"/>
            <family val="2"/>
          </rPr>
          <t>Source: Investing.com, S&amp;P 500 MACD(12,26,9) -39.430 on 20-Mar-2026
https://www.investing.com/indices/us-spx-500-technical</t>
        </r>
      </text>
    </comment>
    <comment ref="K45" authorId="0" shapeId="0" xr:uid="{8A64642A-9C7E-48A9-A468-88A18FA829D2}">
      <text>
        <r>
          <rPr>
            <b/>
            <sz val="9"/>
            <color indexed="81"/>
            <rFont val="Tahoma"/>
            <family val="2"/>
          </rPr>
          <t>Previous MACD from 18-Mar-2026</t>
        </r>
      </text>
    </comment>
    <comment ref="B46" authorId="0" shapeId="0" xr:uid="{D12671BF-B8A8-44C6-AC1D-E516985A3A91}">
      <text>
        <r>
          <rPr>
            <b/>
            <sz val="9"/>
            <color indexed="81"/>
            <rFont val="Tahoma"/>
            <family val="2"/>
          </rPr>
          <t>Source: CBOE Skew ~140 (estimated, pending weekly update)
https://cboe.com/us/indices/dashboard/skew/</t>
        </r>
      </text>
    </comment>
    <comment ref="K46" authorId="0" shapeId="0" xr:uid="{1BBDA02D-336F-4101-B69A-1B3E90250855}">
      <text>
        <r>
          <rPr>
            <b/>
            <sz val="9"/>
            <color indexed="81"/>
            <rFont val="Tahoma"/>
            <family val="2"/>
          </rPr>
          <t>Previous Skew from 18-Mar-2026</t>
        </r>
      </text>
    </comment>
    <comment ref="C56" authorId="0" shapeId="0" xr:uid="{9946DDCE-2DC0-4F37-B1C4-3D42C369BF95}">
      <text>
        <r>
          <rPr>
            <b/>
            <sz val="9"/>
            <color indexed="81"/>
            <rFont val="Tahoma"/>
            <family val="2"/>
          </rPr>
          <t>Source: FRED M2SL, YoY 4.29% Jan 2026 (monthly, latest available)
https://fred.stlouisfed.org/series/M2SL</t>
        </r>
      </text>
    </comment>
    <comment ref="L56" authorId="0" shapeId="0" xr:uid="{CD447ED6-6898-4C65-A8D8-6C1489B12694}">
      <text>
        <r>
          <rPr>
            <b/>
            <sz val="9"/>
            <color indexed="81"/>
            <rFont val="Tahoma"/>
            <family val="2"/>
          </rPr>
          <t>Previous M2 from 18-Mar-2026</t>
        </r>
      </text>
    </comment>
    <comment ref="C57" authorId="0" shapeId="0" xr:uid="{8BCB5B07-C66E-401B-B1D1-87E205E6E39B}">
      <text>
        <r>
          <rPr>
            <b/>
            <sz val="9"/>
            <color indexed="81"/>
            <rFont val="Tahoma"/>
            <family val="2"/>
          </rPr>
          <t>Source: Fed H.4.1, Total Assets ~$6,610B (unchanged)
https://www.federalreserve.gov/releases/h41/current/</t>
        </r>
      </text>
    </comment>
    <comment ref="L57" authorId="0" shapeId="0" xr:uid="{F848F45E-F964-49D1-A23C-EB5AEDB283F6}">
      <text>
        <r>
          <rPr>
            <b/>
            <sz val="9"/>
            <color indexed="81"/>
            <rFont val="Tahoma"/>
            <family val="2"/>
          </rPr>
          <t>Previous Fed BS from 18-Mar-2026</t>
        </r>
      </text>
    </comment>
    <comment ref="C58" authorId="0" shapeId="0" xr:uid="{975FE27B-A125-4A96-83B7-1FE31C43D13F}">
      <text>
        <r>
          <rPr>
            <b/>
            <sz val="9"/>
            <color indexed="81"/>
            <rFont val="Tahoma"/>
            <family val="2"/>
          </rPr>
          <t>Source: FRED WALCL, ~-2.8% YoY (unchanged)
https://fred.stlouisfed.org/series/WALCL</t>
        </r>
      </text>
    </comment>
    <comment ref="L58" authorId="0" shapeId="0" xr:uid="{20E86352-5E87-42E6-AB10-ED7BFE64BAF8}">
      <text>
        <r>
          <rPr>
            <b/>
            <sz val="9"/>
            <color indexed="81"/>
            <rFont val="Tahoma"/>
            <family val="2"/>
          </rPr>
          <t>Previous Fed BS YoY from 18-Mar-2026</t>
        </r>
      </text>
    </comment>
    <comment ref="C59" authorId="0" shapeId="0" xr:uid="{6C78F316-94F2-4F15-A68D-5692B65EE50B}">
      <text>
        <r>
          <rPr>
            <b/>
            <sz val="9"/>
            <color indexed="81"/>
            <rFont val="Tahoma"/>
            <family val="2"/>
          </rPr>
          <t>Source: Fed FOMC, rate held 3.50-3.75% on 18-Mar-2026 (unchanged)
https://www.federalreserve.gov/newsevents/pressreleases.htm</t>
        </r>
      </text>
    </comment>
    <comment ref="L59" authorId="0" shapeId="0" xr:uid="{77C02644-DA96-46D1-8C64-650C0082D925}">
      <text>
        <r>
          <rPr>
            <b/>
            <sz val="9"/>
            <color indexed="81"/>
            <rFont val="Tahoma"/>
            <family val="2"/>
          </rPr>
          <t>Previous Fed Funds from 18-Mar-2026</t>
        </r>
      </text>
    </comment>
    <comment ref="C60" authorId="0" shapeId="0" xr:uid="{499D76AE-5402-4231-B068-D865C011E722}">
      <text>
        <r>
          <rPr>
            <b/>
            <sz val="9"/>
            <color indexed="81"/>
            <rFont val="Tahoma"/>
            <family val="2"/>
          </rPr>
          <t>Source: FRED RRPONTSYD, ON RRP ~$6B (unchanged)
https://fred.stlouisfed.org/series/RRPONTSYD</t>
        </r>
      </text>
    </comment>
    <comment ref="L60" authorId="0" shapeId="0" xr:uid="{F4CD8BE7-47DE-4AA8-ADF8-AD253DB31762}">
      <text>
        <r>
          <rPr>
            <b/>
            <sz val="9"/>
            <color indexed="81"/>
            <rFont val="Tahoma"/>
            <family val="2"/>
          </rPr>
          <t>Previous RRP from 18-Mar-2026</t>
        </r>
      </text>
    </comment>
    <comment ref="C61" authorId="0" shapeId="0" xr:uid="{B684B55A-A2F4-46B0-8B94-2CA1B1E0C766}">
      <text>
        <r>
          <rPr>
            <b/>
            <sz val="9"/>
            <color indexed="81"/>
            <rFont val="Tahoma"/>
            <family val="2"/>
          </rPr>
          <t>Source: Calculated = Fed BS ($6,610B) - TGA (~$943B) - RRP ($6B)</t>
        </r>
      </text>
    </comment>
    <comment ref="L61" authorId="0" shapeId="0" xr:uid="{D7139800-FE94-4BF7-9728-46A75184D96E}">
      <text>
        <r>
          <rPr>
            <b/>
            <sz val="9"/>
            <color indexed="81"/>
            <rFont val="Tahoma"/>
            <family val="2"/>
          </rPr>
          <t>Previous Net Liquidity from 18-Mar-2026</t>
        </r>
      </text>
    </comment>
    <comment ref="C62" authorId="0" shapeId="0" xr:uid="{2DFEC8C6-9326-4911-A6CE-8D38578B4321}">
      <text>
        <r>
          <rPr>
            <b/>
            <sz val="9"/>
            <color indexed="81"/>
            <rFont val="Tahoma"/>
            <family val="2"/>
          </rPr>
          <t>Source: Advisor Perspectives, 10Y(4.39%) - 2Y(3.88%) = 0.51% on 20-Mar-2026
https://www.advisorperspectives.com/dshort/updates/2026/03/20/treasury-yields-snapshot-march-20-2026</t>
        </r>
      </text>
    </comment>
    <comment ref="L62" authorId="0" shapeId="0" xr:uid="{7BF408AC-7220-4486-8311-56E13E6F4CB5}">
      <text>
        <r>
          <rPr>
            <b/>
            <sz val="9"/>
            <color indexed="81"/>
            <rFont val="Tahoma"/>
            <family val="2"/>
          </rPr>
          <t>Previous 2Y-10Y from 18-Mar-2026</t>
        </r>
      </text>
    </comment>
    <comment ref="C63" authorId="0" shapeId="0" xr:uid="{E1401D6C-32CD-483B-B64E-AFCE476B8A04}">
      <text>
        <r>
          <rPr>
            <b/>
            <sz val="9"/>
            <color indexed="81"/>
            <rFont val="Tahoma"/>
            <family val="2"/>
          </rPr>
          <t>Source: SOFR spread ~5bps (unchanged)
https://fred.stlouisfed.org/series/SOFR</t>
        </r>
      </text>
    </comment>
    <comment ref="L63" authorId="0" shapeId="0" xr:uid="{97902DD6-1146-4463-8897-9025FEDA5D38}">
      <text>
        <r>
          <rPr>
            <b/>
            <sz val="9"/>
            <color indexed="81"/>
            <rFont val="Tahoma"/>
            <family val="2"/>
          </rPr>
          <t>Previous SOFR from 18-Mar-2026</t>
        </r>
      </text>
    </comment>
    <comment ref="C64" authorId="0" shapeId="0" xr:uid="{7B045CD6-DEE8-4F0D-91BF-4BF062BBD651}">
      <text>
        <r>
          <rPr>
            <b/>
            <sz val="9"/>
            <color indexed="81"/>
            <rFont val="Tahoma"/>
            <family val="2"/>
          </rPr>
          <t>Source: Trading Economics, DXY 99.50 on 20-Mar-2026
https://tradingeconomics.com/united-states/currency</t>
        </r>
      </text>
    </comment>
    <comment ref="L64" authorId="0" shapeId="0" xr:uid="{A5991F25-0137-452F-881E-06F6B05B808E}">
      <text>
        <r>
          <rPr>
            <b/>
            <sz val="9"/>
            <color indexed="81"/>
            <rFont val="Tahoma"/>
            <family val="2"/>
          </rPr>
          <t>Previous DXY from 18-Mar-2026</t>
        </r>
      </text>
    </comment>
    <comment ref="C65" authorId="0" shapeId="0" xr:uid="{B54D415C-06B9-4545-88E9-661431ED6DA8}">
      <text>
        <r>
          <rPr>
            <b/>
            <sz val="9"/>
            <color indexed="81"/>
            <rFont val="Tahoma"/>
            <family val="2"/>
          </rPr>
          <t>Source: Calculated = Gold ($4,624) / S&amp;P 500 (6,506.48) on 20-Mar-2026
https://www.usagold.com/daily-gold-price-history/</t>
        </r>
      </text>
    </comment>
    <comment ref="L65" authorId="0" shapeId="0" xr:uid="{DD815C8B-A0B6-47EC-AC2D-D555EB53DFDC}">
      <text>
        <r>
          <rPr>
            <b/>
            <sz val="9"/>
            <color indexed="81"/>
            <rFont val="Tahoma"/>
            <family val="2"/>
          </rPr>
          <t>Previous Gold/SPX from 18-Mar-2026</t>
        </r>
      </text>
    </comment>
    <comment ref="C66" authorId="0" shapeId="0" xr:uid="{E25150DE-1D26-4A88-9534-3F7BB6EBE970}">
      <text>
        <r>
          <rPr>
            <b/>
            <sz val="9"/>
            <color indexed="81"/>
            <rFont val="Tahoma"/>
            <family val="2"/>
          </rPr>
          <t>Source: TradingView, MOVE Index ~108.84 on 20-Mar-2026
https://www.tradingview.com/symbols/TVC-MOVE/</t>
        </r>
      </text>
    </comment>
    <comment ref="L66" authorId="0" shapeId="0" xr:uid="{4A27367B-0198-4312-B50B-8F2FBC052451}">
      <text>
        <r>
          <rPr>
            <b/>
            <sz val="9"/>
            <color indexed="81"/>
            <rFont val="Tahoma"/>
            <family val="2"/>
          </rPr>
          <t>Previous MOVE from 18-Mar-2026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PINILLOS</author>
  </authors>
  <commentList>
    <comment ref="N25" authorId="0" shapeId="0" xr:uid="{4D3CED86-C54B-4016-943A-0CEEAC6890E4}">
      <text>
        <r>
          <rPr>
            <b/>
            <sz val="9"/>
            <color indexed="81"/>
            <rFont val="Tahoma"/>
            <family val="2"/>
          </rPr>
          <t>FRANCISCO PINILLOS:</t>
        </r>
        <r>
          <rPr>
            <sz val="9"/>
            <color indexed="81"/>
            <rFont val="Tahoma"/>
            <family val="2"/>
          </rPr>
          <t xml:space="preserve">
Source: S&amp;P 500 close Aug 24→Sep 24, 2015: 1,893→1,932 (approx from FRED/Yahoo historical)</t>
        </r>
      </text>
    </comment>
    <comment ref="N26" authorId="0" shapeId="0" xr:uid="{ADCAF5A9-184E-4734-AFA5-E1C81C041678}">
      <text>
        <r>
          <rPr>
            <b/>
            <sz val="9"/>
            <color indexed="81"/>
            <rFont val="Tahoma"/>
            <family val="2"/>
          </rPr>
          <t>FRANCISCO PINILLOS:</t>
        </r>
        <r>
          <rPr>
            <sz val="9"/>
            <color indexed="81"/>
            <rFont val="Tahoma"/>
            <family val="2"/>
          </rPr>
          <t xml:space="preserve">
Source: S&amp;P 500 close Jun 24→Jul 25, 2016: 2,037→2,169 (approx from FRED/Yahoo historical)</t>
        </r>
      </text>
    </comment>
    <comment ref="N27" authorId="0" shapeId="0" xr:uid="{81DB9B1C-57BB-444A-A22A-662709E26654}">
      <text>
        <r>
          <rPr>
            <b/>
            <sz val="9"/>
            <color indexed="81"/>
            <rFont val="Tahoma"/>
            <family val="2"/>
          </rPr>
          <t>FRANCISCO PINILLOS:</t>
        </r>
        <r>
          <rPr>
            <sz val="9"/>
            <color indexed="81"/>
            <rFont val="Tahoma"/>
            <family val="2"/>
          </rPr>
          <t xml:space="preserve">
Source: S&amp;P 500 close Nov 9→Dec 9, 2016: 2,163→2,260 (approx from FRED/Yahoo historical)</t>
        </r>
      </text>
    </comment>
    <comment ref="N28" authorId="0" shapeId="0" xr:uid="{4BF35F20-5557-4BE6-8C58-E5F25CD104F2}">
      <text>
        <r>
          <rPr>
            <b/>
            <sz val="9"/>
            <color indexed="81"/>
            <rFont val="Tahoma"/>
            <family val="2"/>
          </rPr>
          <t>FRANCISCO PINILLOS:</t>
        </r>
        <r>
          <rPr>
            <sz val="9"/>
            <color indexed="81"/>
            <rFont val="Tahoma"/>
            <family val="2"/>
          </rPr>
          <t xml:space="preserve">
Source: S&amp;P 500 close Sep 17→Oct 17, 2019: 3,007→2,998 (approx from FRED/Yahoo historical)</t>
        </r>
      </text>
    </comment>
    <comment ref="N29" authorId="0" shapeId="0" xr:uid="{309C7783-D57B-4F51-A8E6-061EFA1BCC0C}">
      <text>
        <r>
          <rPr>
            <b/>
            <sz val="9"/>
            <color indexed="81"/>
            <rFont val="Tahoma"/>
            <family val="2"/>
          </rPr>
          <t>FRANCISCO PINILLOS:</t>
        </r>
        <r>
          <rPr>
            <sz val="9"/>
            <color indexed="81"/>
            <rFont val="Tahoma"/>
            <family val="2"/>
          </rPr>
          <t xml:space="preserve">
Source: S&amp;P 500 close Nov 26→Dec 27, 2021: 4,595→4,791 (approx from FRED/Yahoo historical)</t>
        </r>
      </text>
    </comment>
  </commentList>
</comments>
</file>

<file path=xl/sharedStrings.xml><?xml version="1.0" encoding="utf-8"?>
<sst xmlns="http://schemas.openxmlformats.org/spreadsheetml/2006/main" count="1315" uniqueCount="914">
  <si>
    <t>BLOQUE 5: MARKET REGIME DETECTION</t>
  </si>
  <si>
    <t>AI Investing Dashboard  |  Marango Fund</t>
  </si>
  <si>
    <t>#</t>
  </si>
  <si>
    <t>INDICATOR</t>
  </si>
  <si>
    <t>CURRENT VALUE</t>
  </si>
  <si>
    <t>RISK-ON THRESHOLD</t>
  </si>
  <si>
    <t>NEUTRAL ZONE</t>
  </si>
  <si>
    <t>RISK-OFF THRESHOLD</t>
  </si>
  <si>
    <t>DIRECTION</t>
  </si>
  <si>
    <t>STATUS</t>
  </si>
  <si>
    <t>SCORE</t>
  </si>
  <si>
    <t>WEIGHT</t>
  </si>
  <si>
    <t>WEIGHTED</t>
  </si>
  <si>
    <t>VIX (Volatility Index)</t>
  </si>
  <si>
    <t>Lower = Better</t>
  </si>
  <si>
    <t>HY Credit Spreads (bps)</t>
  </si>
  <si>
    <t>Put/Call Ratio (Market-wide)</t>
  </si>
  <si>
    <t>Market Breadth (% &gt; 200d MA)</t>
  </si>
  <si>
    <t>Higher = Better</t>
  </si>
  <si>
    <t>COMPOSITE SCORE</t>
  </si>
  <si>
    <t>⚡  REGIME CLASSIFICATION &amp; RECOMMENDATION</t>
  </si>
  <si>
    <t>Composite Score:</t>
  </si>
  <si>
    <t>Regime Change Probability:</t>
  </si>
  <si>
    <t>PORTFOLIO POSITIONING:</t>
  </si>
  <si>
    <t>🚨  RISK-OFF TRIGGER ACTIONS</t>
  </si>
  <si>
    <t>TRIGGER</t>
  </si>
  <si>
    <t>CONDITION</t>
  </si>
  <si>
    <t>CURRENT</t>
  </si>
  <si>
    <t>TRIGGERED?</t>
  </si>
  <si>
    <t>ACTION IF TRIGGERED</t>
  </si>
  <si>
    <t>VIX Spike</t>
  </si>
  <si>
    <t>Reduce tech exposure 44% → 35%, increase hedges</t>
  </si>
  <si>
    <t>Credit Stress</t>
  </si>
  <si>
    <t>HY Spreads &gt; 400bps</t>
  </si>
  <si>
    <t>Cut cyclicals, shift to investment-grade bonds</t>
  </si>
  <si>
    <t>Fear Extreme</t>
  </si>
  <si>
    <t>Put/Call &gt; 1.2</t>
  </si>
  <si>
    <t>Raise cash to 10-15%, pause new positions</t>
  </si>
  <si>
    <t>Breadth Collapse</t>
  </si>
  <si>
    <t>Breadth &lt; 50%</t>
  </si>
  <si>
    <t>Rotate to defensives (healthcare, utilities, staples)</t>
  </si>
  <si>
    <t>Indicator</t>
  </si>
  <si>
    <t>VIX</t>
  </si>
  <si>
    <t>HY Spreads</t>
  </si>
  <si>
    <t>Put/Call</t>
  </si>
  <si>
    <t>Breadth</t>
  </si>
  <si>
    <t>Score</t>
  </si>
  <si>
    <t>📊  TECHNICAL INDICATORS — S&amp;P 500</t>
  </si>
  <si>
    <t>Current Value</t>
  </si>
  <si>
    <t>Reference</t>
  </si>
  <si>
    <t>Bearish Threshold</t>
  </si>
  <si>
    <t>Bullish Threshold</t>
  </si>
  <si>
    <t>Score (0-100)</t>
  </si>
  <si>
    <t>Weight</t>
  </si>
  <si>
    <t>Wtd Score</t>
  </si>
  <si>
    <t>Signal</t>
  </si>
  <si>
    <t>Interpretation</t>
  </si>
  <si>
    <t>S&amp;P 500 vs MA-200</t>
  </si>
  <si>
    <t>S&amp;P 500 vs MA-50</t>
  </si>
  <si>
    <t>Golden/Death Cross</t>
  </si>
  <si>
    <t>MA50 &lt; MA200</t>
  </si>
  <si>
    <t>MA50 &gt; MA200</t>
  </si>
  <si>
    <t>RSI (14-Day)</t>
  </si>
  <si>
    <t>MACD (12,26,9)</t>
  </si>
  <si>
    <t>CBOE Skew Index</t>
  </si>
  <si>
    <t>TECHNICAL COMPOSITE SCORE</t>
  </si>
  <si>
    <t>🎯  TECHNICAL REGIME CLASSIFICATION</t>
  </si>
  <si>
    <t>Technical Regime:</t>
  </si>
  <si>
    <t>Score Range</t>
  </si>
  <si>
    <t>Classification</t>
  </si>
  <si>
    <t>Implication:</t>
  </si>
  <si>
    <t>70-100</t>
  </si>
  <si>
    <t>✅ Strong Uptrend</t>
  </si>
  <si>
    <t>45-69 / 30-44</t>
  </si>
  <si>
    <t>⚠️ Sideways / ⚠️ Down</t>
  </si>
  <si>
    <t>Component</t>
  </si>
  <si>
    <t>Weighted</t>
  </si>
  <si>
    <t>Status</t>
  </si>
  <si>
    <t>COMBINED REGIME</t>
  </si>
  <si>
    <t>📊 Technical Score</t>
  </si>
  <si>
    <t>🎯 COMBINED SCORE</t>
  </si>
  <si>
    <t>Action:</t>
  </si>
  <si>
    <t>📊  SENTIMENT &amp; SYSTEMIC RISK</t>
  </si>
  <si>
    <t>🌐 Sentiment &amp; Systemic Score</t>
  </si>
  <si>
    <t>Sentiment &amp; Systemic Regime:</t>
  </si>
  <si>
    <t>Override:</t>
  </si>
  <si>
    <t>M2 Money Supply YoY %</t>
  </si>
  <si>
    <t>&gt; 5%</t>
  </si>
  <si>
    <t>2% - 5%</t>
  </si>
  <si>
    <t>&lt; 2%</t>
  </si>
  <si>
    <t>Fed Balance Sheet ($T)</t>
  </si>
  <si>
    <t>&gt; 7.0</t>
  </si>
  <si>
    <t>6.0 - 7.0</t>
  </si>
  <si>
    <t>&lt; 6.0</t>
  </si>
  <si>
    <t>Fed Balance Sheet YoY %</t>
  </si>
  <si>
    <t>&gt; 0%</t>
  </si>
  <si>
    <t>-5% to 0%</t>
  </si>
  <si>
    <t>&lt; -5%</t>
  </si>
  <si>
    <t>Fed Funds Rate (%)</t>
  </si>
  <si>
    <t>&lt; 3%</t>
  </si>
  <si>
    <t>3% - 5%</t>
  </si>
  <si>
    <t>Reverse Repo Facility ($B)</t>
  </si>
  <si>
    <t>&lt; 200</t>
  </si>
  <si>
    <t>200 - 1000</t>
  </si>
  <si>
    <t>&gt; 1000</t>
  </si>
  <si>
    <t>Net Liquidity Index ($B)</t>
  </si>
  <si>
    <t>&gt; 6000</t>
  </si>
  <si>
    <t>5000 - 6000</t>
  </si>
  <si>
    <t>&lt; 5000</t>
  </si>
  <si>
    <t>LIQUIDITY COMPOSITE SCORE</t>
  </si>
  <si>
    <t>Liquidity Regime:</t>
  </si>
  <si>
    <t>70-100 / 55-69</t>
  </si>
  <si>
    <t>✅ Expansion / Moderate</t>
  </si>
  <si>
    <t>🔗  COMBINED REGIME SCORE (MACRO + TECHNICAL + LIQUIDITY)</t>
  </si>
  <si>
    <t>💧 Liquidity Score</t>
  </si>
  <si>
    <t>💧  LIQUIDITY MONITOR</t>
  </si>
  <si>
    <t>LAST WEEK</t>
  </si>
  <si>
    <t>DELTA</t>
  </si>
  <si>
    <t>TREND</t>
  </si>
  <si>
    <t>⏱️  REGIME DURATION TRACKER</t>
  </si>
  <si>
    <t>Weeks in Current Regime:</t>
  </si>
  <si>
    <t>Leading Indicators:</t>
  </si>
  <si>
    <t>🔀  DIVERGENCE ANALYSIS (MACRO vs TECHNICAL)</t>
  </si>
  <si>
    <t>Sentiment Score:</t>
  </si>
  <si>
    <t>Technical Score:</t>
  </si>
  <si>
    <t>Gap:</t>
  </si>
  <si>
    <t>Divergence Status:</t>
  </si>
  <si>
    <t>Confidence:</t>
  </si>
  <si>
    <t>Interpretation:</t>
  </si>
  <si>
    <t>Risk Guidance:</t>
  </si>
  <si>
    <t>What to watch for alignment:</t>
  </si>
  <si>
    <t>VIX &gt; 25</t>
  </si>
  <si>
    <t>📊 HISTORICAL LOG — Market Regime Tracker</t>
  </si>
  <si>
    <t>Weekly snapshots — All regime components | Marango Fund</t>
  </si>
  <si>
    <t>Date</t>
  </si>
  <si>
    <t>Week #</t>
  </si>
  <si>
    <t>Sentiment Score</t>
  </si>
  <si>
    <t>S&amp;P 500</t>
  </si>
  <si>
    <t>RSI</t>
  </si>
  <si>
    <t>MACD</t>
  </si>
  <si>
    <t>Skew</t>
  </si>
  <si>
    <t>Technical Score</t>
  </si>
  <si>
    <t>M2 YoY%</t>
  </si>
  <si>
    <t>Fed BS ($T)</t>
  </si>
  <si>
    <t>Fed Rate</t>
  </si>
  <si>
    <t>Liquidity Score</t>
  </si>
  <si>
    <t>Combined Score</t>
  </si>
  <si>
    <t>Regime</t>
  </si>
  <si>
    <t>Triggers Active</t>
  </si>
  <si>
    <t>Notes</t>
  </si>
  <si>
    <t>💡 Each Friday: Copy row 5 → paste as VALUES in next row. Update Date, Week #, and Notes. Row 5 auto-pulls current data.</t>
  </si>
  <si>
    <t>&lt; 15</t>
  </si>
  <si>
    <t>200 - 400</t>
  </si>
  <si>
    <t>&gt; 600</t>
  </si>
  <si>
    <t>&lt; 0.5</t>
  </si>
  <si>
    <t>0.5 - 1.2</t>
  </si>
  <si>
    <t>&gt; 2.0</t>
  </si>
  <si>
    <t>&gt; 80%</t>
  </si>
  <si>
    <t>40% - 80%</t>
  </si>
  <si>
    <t>&lt; 20%</t>
  </si>
  <si>
    <t>📖 INDICATOR GUIDE — Market Regime Detection</t>
  </si>
  <si>
    <t>AI Investing Dashboard  |  Marango Fund  |  Reference guide for all indicators used in Bloque 5</t>
  </si>
  <si>
    <t>DESCRIPTION</t>
  </si>
  <si>
    <t>SCORING LOGIC</t>
  </si>
  <si>
    <t>DATA SOURCE &amp; FREQUENCY</t>
  </si>
  <si>
    <t>🌐  SENTIMENT &amp; SYSTEMIC RISK INDICATORS (Weight in Combined Score: 35%)</t>
  </si>
  <si>
    <t>Mide la volatilidad implícita esperada a 30 días del S&amp;P 500, derivada de precios de opciones. Conocido como el "índice del miedo". Un VIX bajo indica complacencia/confianza del mercado; un VIX alto indica estrés, incertidumbre o pánico. Es el indicador más reactivo del dashboard.</t>
  </si>
  <si>
    <t>Lineal: ≤15 → 100 (calma)
≥40 → 0 (pánico)
Entre 15-40 → escala proporcional</t>
  </si>
  <si>
    <t>Yahoo Finance / CBOE
Diaria — Actualizar cada lunes con cierre del viernes</t>
  </si>
  <si>
    <t>Diferencial de rendimiento entre bonos corporativos High Yield (basura) y bonos del Tesoro. Mide el riesgo crediticio percibido en la economía. Spreads bajos = confianza crediticia, mercado sano. Spreads altos = estrés financiero, miedo a defaults. Anticipan recesiones con meses de adelanto.</t>
  </si>
  <si>
    <t>Lineal: ≤200 → 100 (salud)
≥600 → 0 (crisis)
Entre 200-600 → escala proporcional</t>
  </si>
  <si>
    <t>FRED (ICE BofA HY OAS)
Semanal — Actualizar cada lunes</t>
  </si>
  <si>
    <t>Put/Call Ratio</t>
  </si>
  <si>
    <t>Ratio entre volumen de opciones put (bajistas) y call (alcistas) en el mercado. Mide el sentimiento direccional de los participantes. Ratio bajo (&lt;0.7) = exceso de optimismo (posible techo). Ratio alto (&gt;1.2) = miedo extremo (posible suelo contrarian). Es un indicador contrarian clásico.</t>
  </si>
  <si>
    <t>Lineal: ≤0.5 → 100 (optimismo)
≥2.0 → 0 (pánico)
Entre 0.5-2.0 → escala proporcional</t>
  </si>
  <si>
    <t>CBOE / yCharts
Diaria — Actualizar cada lunes</t>
  </si>
  <si>
    <t>Porcentaje de acciones del S&amp;P 500 que cotizan por encima de su media móvil de 200 días. Mide la salud interna del mercado más allá del índice. Breadth alta (&gt;65%) = rally amplio, saludable. Breadth baja (&lt;40%) = mercado concentrado en pocos valores, frágil. Divergencia con el índice es señal de alerta.</t>
  </si>
  <si>
    <t>Lineal: ≥80% → 100 (sano)
≤20% → 0 (colapso)
Entre 20-80% → escala proporcional</t>
  </si>
  <si>
    <t>MacroMicro
Semanal — Actualizar cada lunes
Input en decimal (0.65 = 65%)</t>
  </si>
  <si>
    <t>📊  TECHNICAL INDICATORS — S&amp;P 500 (Weight in Combined Score: 35%)</t>
  </si>
  <si>
    <t>Posición del S&amp;P 500 relativa a su media móvil de 200 días. La MA-200 es la línea divisoria clásica entre tendencia alcista y bajista a largo plazo. Por encima = bull market técnico. Por debajo = bear market técnico. La distancia porcentual mide la fuerza de la tendencia.</t>
  </si>
  <si>
    <t>% vs MA200:
&lt; -5% → 0 (bear fuerte)
&gt; +3% → 100 (bull fuerte)
Entre -5% y +3% → proporcional</t>
  </si>
  <si>
    <t>Investing.com (Technical page)
Diaria — Actualizar cada lunes</t>
  </si>
  <si>
    <t>Posición del S&amp;P 500 relativa a su media móvil de 50 días. Mide la tendencia de mediano plazo. Más sensible que la MA-200, captura cambios de momentum antes. Rupturas por debajo de la MA-50 suelen preceder correcciones. Útil para timing de entries/exits.</t>
  </si>
  <si>
    <t>% vs MA50:
&lt; -3% → 0 (débil)
&gt; +2% → 100 (fuerte)
Entre -3% y +2% → proporcional</t>
  </si>
  <si>
    <t>Golden / Death Cross</t>
  </si>
  <si>
    <t>Señal binaria basada en el cruce de la MA-50 con la MA-200. Golden Cross (MA50 &gt; MA200) = señal alcista de largo plazo, históricamente precede rallies sostenidos. Death Cross (MA50 &lt; MA200) = señal bajista, precede períodos de debilidad. Cambia poco frecuentemente (cada varios meses).</t>
  </si>
  <si>
    <t>Binario:
MA50 &gt; MA200 → 100 (Golden)
MA50 &lt; MA200 → 0 (Death)</t>
  </si>
  <si>
    <t>Calculado automáticamente
Se actualiza al ingresar MA-50 y MA-200</t>
  </si>
  <si>
    <t>Relative Strength Index con período de 14 días. Oscilador de momentum que mide la velocidad y magnitud de los movimientos de precio (0-100). RSI &gt; 70 = sobrecomprado (riesgo de corrección). RSI &lt; 30 = sobrevendido (posible rebote). Entre 40-60 = zona neutral sin señal clara.</t>
  </si>
  <si>
    <t>Zonas:
&lt; 30 → 0 (oversold)
&gt; 70 → 100 (overbought)
30-50 → escala 0-50
50-70 → escala 50-100</t>
  </si>
  <si>
    <t>Investing.com (SPY Technical)
Diaria — Actualizar cada lunes</t>
  </si>
  <si>
    <t>Moving Average Convergence Divergence. Diferencia entre EMA-12 y EMA-26, con señal EMA-9. Mide momentum y dirección de tendencia. MACD positivo = momentum alcista. MACD negativo = momentum bajista. Cruces con la línea de señal generan señales de compra/venta. Es un indicador lagging (confirma, no predice).</t>
  </si>
  <si>
    <t>Lineal:
&lt; -50 → 0 (bear fuerte)
&gt; +50 → 100 (bull fuerte)
Entre -50 y +50 → proporcional</t>
  </si>
  <si>
    <t>Mide la asimetría (skew) de la distribución de retornos esperados implícita en opciones del S&amp;P 500. Skew alto (&gt;145) = el mercado está pagando más por protección contra caídas extremas (tail risk). Skew bajo (&lt;120) = baja percepción de tail risk. Diferente del VIX: mide FORMA del riesgo, no NIVEL.</t>
  </si>
  <si>
    <t>Invertido:
≥155 → 0 (tail risk)
≤120 → 100 (bajo riesgo)
Entre 120-155 → proporcional</t>
  </si>
  <si>
    <t>MacroMicro / CBOE
Semanal (retraso ~1 semana)</t>
  </si>
  <si>
    <t>💧  LIQUIDITY MONITOR (Weight in Combined Score: 30%)</t>
  </si>
  <si>
    <t>Crecimiento interanual de la masa monetaria M2 (efectivo + depósitos + money markets). M2 creciendo = más dinero circulando en la economía, favorable para activos de riesgo. M2 contrayéndose = liquidez drenando del sistema, historícamente precede debilidad en equities. El indicador de liquidez más amplio.</t>
  </si>
  <si>
    <t>Lineal: &gt;5% → 80-100
2-5% → 40-80
&lt;2% → 0-40
Input en decimal (0.046 = 4.6%)</t>
  </si>
  <si>
    <t>FRED (M2SL series)
Mensual (retraso ~4 semanas)</t>
  </si>
  <si>
    <t>Tamaño total del balance de la Reserva Federal en trillones de dólares. Incluye bonos del Tesoro y MBS. Balance creciente (QE) = inyección de liquidez, positivo para mercados. Balance reduciéndose (QT) = drena liquidez. El balance pasó de $4T pre-COVID a $9T en 2022, ahora ~$6.6T.</t>
  </si>
  <si>
    <t>Lineal: &gt;$7T → 80-100
$6-7T → 40-80
&lt;$6T → 0-40</t>
  </si>
  <si>
    <t>Fed H.4.1 Release / FRED (WALCL)
Semanal — Publicado jueves</t>
  </si>
  <si>
    <t>Cambio interanual del balance de la Fed. Complementa el nivel absoluto mostrando la DIRECCIÓN. YoY positivo = expansión neta (favorable). YoY negativo = contracción neta (QT activo). Actualmente en ~-2.6% indicando que QT continúa pero a ritmo moderado.</t>
  </si>
  <si>
    <t>Lineal: &gt;0% → 80-100
-5% a 0% → 40-80
&lt;-5% → 0-40
Input en decimal (-0.026 = -2.6%)</t>
  </si>
  <si>
    <t>Calculado: Fed BS actual / Fed BS hace 1 año
FRED (WALCL) — Semanal</t>
  </si>
  <si>
    <t>Tasa de interés objetivo de la Fed para préstamos interbancarios overnight. Es la herramienta principal de política monetaria. Tasas bajas (&lt;3%) = política acomodaticia, favorable para riesgo. Tasas altas (&gt;5%) = política restrictiva, frena la economía. Se mueve en incrementos de 25bps.</t>
  </si>
  <si>
    <t>Invertido:
&lt;3% → 80-100 (acomodaticia)
3-5% → 40-80 (neutral)
&gt;5% → 0-40 (restrictiva)</t>
  </si>
  <si>
    <t>Federal Reserve (FOMC Statement)
Cada 6 semanas (8 reuniones/año)</t>
  </si>
  <si>
    <t>Dinero que instituciones financieras depositan en la Fed overnight a cambio de colateral. RRP alto (&gt;$1T) = exceso de liquidez estacionada fuera del sistema (no circula). RRP bajo (&lt;$200B) = liquidez fluyendo hacia mercados y economía. El drenaje de RRP en 2023-24 fue un motor clave del rally.</t>
  </si>
  <si>
    <t>Invertido:
&lt;$200B → 80-100 (circulando)
$200-1000B → 40-80
&gt;$1000B → 0-40 (estancada)</t>
  </si>
  <si>
    <t>FRED (RRPONTSYD)
Diaria — Actualizar semanal</t>
  </si>
  <si>
    <t>Fórmula: Fed Balance Sheet - TGA (Treasury General Account) - Reverse Repo. Mide la liquidez EFECTIVA disponible en el sistema financiero. Es el indicador más directo de “cuánto dinero puede fluir a activos”. Correlación históricamente alta con el S&amp;P 500. &gt;$6T es expansivo, &lt;$5T es restrictivo.</t>
  </si>
  <si>
    <t>Lineal:
&gt;$6000B → 80-100
$5000-6000B → 40-80
&lt;$5000B → 0-40</t>
  </si>
  <si>
    <t>Calculado: Fed BS - TGA - RRP
Fed H.4.1 + Treasury DTS — Semanal</t>
  </si>
  <si>
    <t>🚨  CIRCUIT BREAKER TRIGGERS (Override System)</t>
  </si>
  <si>
    <t>Concepto:</t>
  </si>
  <si>
    <t>Si CUALQUIER trigger se activa, el Combined Score se ANULA automáticamente y el modelo fuerza modo RISK-OFF independientemente del score. Son condiciones extremas donde el análisis cuantitativo normal pierde fiabilidad. Cada trigger tiene una acción defensiva específica asociada.</t>
  </si>
  <si>
    <t>DESCRIPTION &amp; RATIONALE</t>
  </si>
  <si>
    <t>THRESHOLD</t>
  </si>
  <si>
    <t>DEFENSIVE ACTION</t>
  </si>
  <si>
    <t>VIX por encima de 25 indica estrés significativo. A este nivel, las opciones de protección están caras y el mercado espera movimientos diarios &gt;1.5%. Historícamente, VIX sostenido &gt;25 coincide con correcciones de 5-15%.</t>
  </si>
  <si>
    <t>Reducir tech exposure 44%→35%, aumentar hedges</t>
  </si>
  <si>
    <t>HY Spreads &gt;400bps señalan que el mercado de crédito está priciando riesgo de default significativo. Los spreads lideran a equities: cuando el crédito se estresa primero, equities suelen seguir con 2-4 semanas de retraso.</t>
  </si>
  <si>
    <t>Cortar cíclicos, rotar a bonos investment-grade</t>
  </si>
  <si>
    <t>Put/Call &gt;1.2 indica que se están comprando 1.2 puts por cada call. Miedo extremo en el mercado de opciones. Puede ser señal contrarian a mediano plazo (suelos), pero a corto plazo indica que la venta puede continuar.</t>
  </si>
  <si>
    <t>Subir cash a 10-15%, pausar nuevas posiciones</t>
  </si>
  <si>
    <t>Menos del 50% de acciones sobre su MA-200 indica que la mayoría del mercado está en bear market aunque el índice pueda no reflejarlo (concentración en mega-caps). Señal de debilidad estructural que precede caídas más amplias.</t>
  </si>
  <si>
    <t>Rotar a defensivos (healthcare, utilities, staples)</t>
  </si>
  <si>
    <t>🎯  COMBINED REGIME SCORE — Methodology</t>
  </si>
  <si>
    <t>Cómo se calcula:</t>
  </si>
  <si>
    <t>Interpretación y posicionamiento sugerido:</t>
  </si>
  <si>
    <t>🚨 OVERRIDE:</t>
  </si>
  <si>
    <t>🔀  DIVERGENCE ANALYSIS — Macro vs Technical</t>
  </si>
  <si>
    <t>Compara el Sentiment Score (fundamentales/macro) con el Technical Score (price action). Cuando ambos están alineados, la convicción es alta. Cuando divergen, alguno de los dos está "equivocado" y hay que actuar con cautela hasta que converjan.</t>
  </si>
  <si>
    <t>Gap ≤ 20 pts:</t>
  </si>
  <si>
    <t>🟢 ALIGNED — Macro y precio de acuerdo. Operar con convicción plena según el Combined Score. Confianza ALTA.</t>
  </si>
  <si>
    <t>Gap 21-30 pts:</t>
  </si>
  <si>
    <t>🟡 MINOR DIVERGENCE — Algo de conflicto entre señales. Considerar reducción modesta de posiciones nuevas. Confianza MODERADA.</t>
  </si>
  <si>
    <t>Gap &gt; 30 pts:</t>
  </si>
  <si>
    <t>🔴 MAJOR DIVERGENCE — Macro y precio contradicen. Reducir convicción en nuevas posiciones. Esperar alineación antes de sizing completo. Confianza BAJA.</t>
  </si>
  <si>
    <t>Si Macro &gt; Technical:</t>
  </si>
  <si>
    <t>Fundamentales OK pero precio débil. ¿Macro lidera y precio alcanzará? ¿O precio advierte deterioro que aún no se refleja en macro? Vigilar: S&amp;P sobre MA-50, RSI &gt;55, MACD positivo para confirmar que Technical converge.</t>
  </si>
  <si>
    <t>Si Technical &gt; Macro:</t>
  </si>
  <si>
    <t>Precio fuerte pero fundamentales deteriorando. ¿Momentum puro? ¿O negación del mercado? Vigilar: VIX &lt;20, Spreads &lt;300, Breadth &gt;65% para confirmar que Macro converge.</t>
  </si>
  <si>
    <t>Cuenta las semanas que el régimen actual se ha mantenido sin cambio. Los regímenes de mercado tienen ciclos: se forman, maduran, y eventualmente revierten. La duración ayuda a calibrar el riesgo de reversión y ajustar la convicción.</t>
  </si>
  <si>
    <t>0-3 semanas: 🟢 EARLY REGIME</t>
  </si>
  <si>
    <t>Régimen recién establecido. Ventana de oportunidad. Convicción aún en construcción.</t>
  </si>
  <si>
    <t>4-25 semanas: 🟡 MID REGIME</t>
  </si>
  <si>
    <t>Régimen maduro y confiable. Posicionamiento normal según el score.</t>
  </si>
  <si>
    <t>26-51 sem: ⚠️ LATE | 52+: 🔴 EXTENDED</t>
  </si>
  <si>
    <t>Late: Cautela, considerar toma de ganancias gradual. Extended: Riesgo de reversión históricamente elevado.</t>
  </si>
  <si>
    <t>📋 DATA SOURCES — Market Regime Dashboard</t>
  </si>
  <si>
    <t>AI Investing Dashboard  |  Marango Fund  |  All data sources for Bloque 5 with URLs and update frequencies</t>
  </si>
  <si>
    <t>Last Updated: 24-Feb-2026</t>
  </si>
  <si>
    <t>📊  SENTIMENT &amp; SYSTEMIC RISK INDICATORS</t>
  </si>
  <si>
    <t>Primary Source</t>
  </si>
  <si>
    <t>URL</t>
  </si>
  <si>
    <t>Frequency</t>
  </si>
  <si>
    <t>Notes / Lag</t>
  </si>
  <si>
    <t>CBOE / Investing.com</t>
  </si>
  <si>
    <t>cboe.com/tradable-products/vix
investing.com/indices/volatility-s-p-500-historical-data</t>
  </si>
  <si>
    <t>Daily (close)</t>
  </si>
  <si>
    <t>Actualizar cada lunes con cierre del viernes</t>
  </si>
  <si>
    <t>FRED (ICE BofA HY OAS)</t>
  </si>
  <si>
    <t>fred.stlouisfed.org/series/BAMLH0A0HYM2</t>
  </si>
  <si>
    <t>FRED publica con 1 día de retraso</t>
  </si>
  <si>
    <t>yCharts (CBOE Equity P/C)</t>
  </si>
  <si>
    <t>ycharts.com/indicators/cboe_equity_put_call_ratio</t>
  </si>
  <si>
    <t>Daily</t>
  </si>
  <si>
    <t>Usar Equity Put/Call, no Total</t>
  </si>
  <si>
    <t>StreetStats / MacroMicro</t>
  </si>
  <si>
    <t>streetstats.finance/markets/breadth-momentum/SP500
macromicro.me/series/22718/sp-500-200ma-breadth</t>
  </si>
  <si>
    <t>Daily (EOD)</t>
  </si>
  <si>
    <t>Input en decimal (0.678 = 67.8%)</t>
  </si>
  <si>
    <t>📈  TECHNICAL INDICATORS — S&amp;P 500</t>
  </si>
  <si>
    <t>S&amp;P 500 Close Price</t>
  </si>
  <si>
    <t>FRED / Yahoo Finance</t>
  </si>
  <si>
    <t>fred.stlouisfed.org/series/SP500
finance.yahoo.com/quote/%5EGSPC/</t>
  </si>
  <si>
    <t>FRED actualiza ~7PM CST mismo día</t>
  </si>
  <si>
    <t>S&amp;P 500 MA-200 / MA-50</t>
  </si>
  <si>
    <t>Investing.com (Technical)</t>
  </si>
  <si>
    <t>investing.com/indices/us-spx-500-technical</t>
  </si>
  <si>
    <t>Usar Simple Moving Average, no EMA</t>
  </si>
  <si>
    <t>Calculado automáticamente</t>
  </si>
  <si>
    <t>N/A — Se actualiza al ingresar MA-50 y MA-200</t>
  </si>
  <si>
    <t>Auto</t>
  </si>
  <si>
    <t>MA50 vs MA200 en celdas B53/C53</t>
  </si>
  <si>
    <t>Investing.com (S&amp;P 500)</t>
  </si>
  <si>
    <t>Usar RSI del índice S&amp;P 500, no SPY ETF</t>
  </si>
  <si>
    <t>Valor del MACD line (no signal ni histogram)</t>
  </si>
  <si>
    <t>MacroMicro / CBOE</t>
  </si>
  <si>
    <t>macromicro.me/series/4407/cboe-skew
cboe.com/us/indices/dashboard/skew/</t>
  </si>
  <si>
    <t>Weekly</t>
  </si>
  <si>
    <t>⚠️ Retraso ~2 semanas en MacroMicro</t>
  </si>
  <si>
    <t>FRED (M2SL series)</t>
  </si>
  <si>
    <t>fred.stlouisfed.org/series/M2SL</t>
  </si>
  <si>
    <t>Monthly</t>
  </si>
  <si>
    <t>⚠️ Retraso ~4 semanas. Input decimal (0.046 = 4.6%)</t>
  </si>
  <si>
    <t>Fed H.4.1 / FRED (WALCL)</t>
  </si>
  <si>
    <t>federalreserve.gov/releases/h41/current/
fred.stlouisfed.org/series/WALCL</t>
  </si>
  <si>
    <t>Weekly (Thu)</t>
  </si>
  <si>
    <t>Publicado jueves ~4:30PM ET. Usar Total Assets.</t>
  </si>
  <si>
    <t>FRED (WALCL)</t>
  </si>
  <si>
    <t>fred.stlouisfed.org/series/WALCL</t>
  </si>
  <si>
    <t>Calculado: BS actual / BS hace 1 año. Input decimal.</t>
  </si>
  <si>
    <t>Federal Reserve (FOMC)</t>
  </si>
  <si>
    <t>federalreserve.gov/newsevents/pressreleases.htm</t>
  </si>
  <si>
    <t>~6 weeks</t>
  </si>
  <si>
    <t>Solo cambia en reuniones FOMC (8x/año). Usar midpoint.</t>
  </si>
  <si>
    <t>FRED (RRPONTSYD)</t>
  </si>
  <si>
    <t>fred.stlouisfed.org/series/RRPONTSYD</t>
  </si>
  <si>
    <t>ON RRP cerca de cero desde Jan 2026 (~$6B)</t>
  </si>
  <si>
    <t>Calculado</t>
  </si>
  <si>
    <t>fiscaldata.treasury.gov/datasets/daily-treasury-statement/</t>
  </si>
  <si>
    <t>Fórmula: Fed BS − TGA − RRP. TGA del Daily Treasury Statement.</t>
  </si>
  <si>
    <t>🔄  ALTERNATIVE &amp; BACKUP SOURCES</t>
  </si>
  <si>
    <t>Backup Source</t>
  </si>
  <si>
    <t>When to Use</t>
  </si>
  <si>
    <t>Yahoo Finance (^VIX)</t>
  </si>
  <si>
    <t>finance.yahoo.com/quote/%5EVIX/</t>
  </si>
  <si>
    <t>Si CBOE no disponible</t>
  </si>
  <si>
    <t>Historical data también disponible</t>
  </si>
  <si>
    <t>Trading Economics</t>
  </si>
  <si>
    <t>tradingeconomics.com/united-states/bofa-merrill-lynch-us-high-yield-option-adjusted-spread-fed-data.html</t>
  </si>
  <si>
    <t>Para dato rápido</t>
  </si>
  <si>
    <t>Muestra % (2.86% = 286 bps)</t>
  </si>
  <si>
    <t>MacroMicro (Total P/C)</t>
  </si>
  <si>
    <t>macromicro.me/charts/449/us-cboe-options-put-call-ratio</t>
  </si>
  <si>
    <t>Si yCharts no disponible</t>
  </si>
  <si>
    <t>Total ratio, no solo Equity</t>
  </si>
  <si>
    <t>Market Breadth</t>
  </si>
  <si>
    <t>Investing.com (S5TH)</t>
  </si>
  <si>
    <t>investing.com/indices/sp-500-stocks-above-200-day-average</t>
  </si>
  <si>
    <t>Si StreetStats no disponible</t>
  </si>
  <si>
    <t>Datos históricos disponibles</t>
  </si>
  <si>
    <t>S&amp;P 500 Technicals</t>
  </si>
  <si>
    <t>TipRanks / Barchart</t>
  </si>
  <si>
    <t>tipranks.com/etf/spy/technical-analysis
barchart.com/etfs-funds/quotes/SPY/technical-analysis</t>
  </si>
  <si>
    <t>Cross-check RSI/MACD</t>
  </si>
  <si>
    <t>SPY como proxy del S&amp;P 500</t>
  </si>
  <si>
    <t>Fed Balance Sheet</t>
  </si>
  <si>
    <t>American Action Forum</t>
  </si>
  <si>
    <t>americanactionforum.org/insight/tracker-the-federal-reserves-balance-sheet/</t>
  </si>
  <si>
    <t>Resumen visual semanal</t>
  </si>
  <si>
    <t>Tracker actualizado semanalmente</t>
  </si>
  <si>
    <t>⚠️  DATA LAG &amp; REFRESH SCHEDULE</t>
  </si>
  <si>
    <t>🟢</t>
  </si>
  <si>
    <t>Refresh: Every Monday AM</t>
  </si>
  <si>
    <t>🟡</t>
  </si>
  <si>
    <t>Refresh: Every Thursday PM / Friday AM</t>
  </si>
  <si>
    <t>Fed Balance Sheet, Fed BS YoY, Net Liquidity, CBOE Skew</t>
  </si>
  <si>
    <t>🔴</t>
  </si>
  <si>
    <t>Refresh: When new data released</t>
  </si>
  <si>
    <t>M2 Money Supply (~monthly, 4wk lag) | Fed Funds Rate (~6wk FOMC cycle)</t>
  </si>
  <si>
    <t>📝  WEEKLY UPDATE WORKFLOW</t>
  </si>
  <si>
    <t>1️⃣</t>
  </si>
  <si>
    <t>Move current values to 'Last Week' column (L)</t>
  </si>
  <si>
    <t>2️⃣</t>
  </si>
  <si>
    <t>Update 'Current Value' cells with new data</t>
  </si>
  <si>
    <t>3️⃣</t>
  </si>
  <si>
    <t>Update date labels in dashboard</t>
  </si>
  <si>
    <t>4️⃣</t>
  </si>
  <si>
    <t>Update 'Weeks in Current Regime' (C22)</t>
  </si>
  <si>
    <t>Increment +1 if regime unchanged, reset to 0 if changed</t>
  </si>
  <si>
    <t>5️⃣</t>
  </si>
  <si>
    <t>Snapshot Historical Log</t>
  </si>
  <si>
    <t>Copy row 5 of Historical Log → paste as VALUES in next row</t>
  </si>
  <si>
    <t>📊 HISTORICAL BACKTEST — Market Regime Model Validation</t>
  </si>
  <si>
    <t>Market Event</t>
  </si>
  <si>
    <t>🌐 Sentiment</t>
  </si>
  <si>
    <t>📊 Technical</t>
  </si>
  <si>
    <t>💧 Liquidity</t>
  </si>
  <si>
    <t>🎯 Combined</t>
  </si>
  <si>
    <t>Model Regime</t>
  </si>
  <si>
    <t>Expected Regime</t>
  </si>
  <si>
    <t>Match?</t>
  </si>
  <si>
    <t>S&amp;P 1M Fwd</t>
  </si>
  <si>
    <t>Pre-COVID Bull Peak</t>
  </si>
  <si>
    <t>Clear Risk-On</t>
  </si>
  <si>
    <t>Risk-On</t>
  </si>
  <si>
    <t>✅</t>
  </si>
  <si>
    <t>None</t>
  </si>
  <si>
    <t>COVID Fear Begins</t>
  </si>
  <si>
    <t>Clear Risk-Off</t>
  </si>
  <si>
    <t>Deteriorating</t>
  </si>
  <si>
    <t>VIX&gt;25, HY&gt;400, P/C&gt;1.2, BR&lt;50%</t>
  </si>
  <si>
    <t>COVID Crash Bottom</t>
  </si>
  <si>
    <t>V-Shape Recovery</t>
  </si>
  <si>
    <t>Risk-On (Moderate)</t>
  </si>
  <si>
    <t>HY&gt;400</t>
  </si>
  <si>
    <t>Rate Hike Fears Begin</t>
  </si>
  <si>
    <t>⚠️</t>
  </si>
  <si>
    <t>Bear Market Confirmed</t>
  </si>
  <si>
    <t>Risk-Off</t>
  </si>
  <si>
    <t>VIX&gt;25, HY&gt;400, BR&lt;50%</t>
  </si>
  <si>
    <t>Bear Market Bottom</t>
  </si>
  <si>
    <t>2023 Recovery Start</t>
  </si>
  <si>
    <t>Risk-Off (Moderate)</t>
  </si>
  <si>
    <t>Neutral → Risk-On</t>
  </si>
  <si>
    <t>10% Correction Low</t>
  </si>
  <si>
    <t>HY&gt;400, BR&lt;50%</t>
  </si>
  <si>
    <t>AI Bull Run Starts</t>
  </si>
  <si>
    <t>VIX Spike / Yen Carry Unwind</t>
  </si>
  <si>
    <t>Risk-Off (Brief)</t>
  </si>
  <si>
    <t>VIX&gt;25, P/C&gt;1.2</t>
  </si>
  <si>
    <t>Tariff Crisis</t>
  </si>
  <si>
    <t>Current (Baseline)</t>
  </si>
  <si>
    <t>📌</t>
  </si>
  <si>
    <t>N/A</t>
  </si>
  <si>
    <t>🎯  MODEL VALIDATION SUMMARY</t>
  </si>
  <si>
    <t>Metric</t>
  </si>
  <si>
    <t>Value</t>
  </si>
  <si>
    <t>Rating</t>
  </si>
  <si>
    <t>KEY FINDINGS</t>
  </si>
  <si>
    <t>Overall Accuracy</t>
  </si>
  <si>
    <t>Risk-Off Detection</t>
  </si>
  <si>
    <t>⭐⭐⭐⭐⭐</t>
  </si>
  <si>
    <t>Risk-On Detection</t>
  </si>
  <si>
    <t>Transition Detection</t>
  </si>
  <si>
    <t>False Negatives (Crisis)</t>
  </si>
  <si>
    <t>✅ Perfect</t>
  </si>
  <si>
    <t>Avg Risk-Off Score</t>
  </si>
  <si>
    <t>Clear signal</t>
  </si>
  <si>
    <t>Avg Risk-On Score</t>
  </si>
  <si>
    <t>⚠️  KNOWN LIMITATIONS</t>
  </si>
  <si>
    <t>🛠️  SUGGESTED THRESHOLD ADJUSTMENTS</t>
  </si>
  <si>
    <t>1. Lagging in early-stage deterioration</t>
  </si>
  <si>
    <t>Adjustment</t>
  </si>
  <si>
    <t>Rationale</t>
  </si>
  <si>
    <t xml:space="preserve">   Model relies on realized indicators, not forward-looking ones</t>
  </si>
  <si>
    <t>2. Transition detection is weakest area</t>
  </si>
  <si>
    <t xml:space="preserve">   Consider: Is it better to be late but safe, or early but risky?</t>
  </si>
  <si>
    <t>📝  METHODOLOGY</t>
  </si>
  <si>
    <t>Indicator values sourced from FRED, Yahoo Finance, CBOE, and Investing.com historical data</t>
  </si>
  <si>
    <t>Some values are approximations where exact daily data was unavailable (marked where applicable)</t>
  </si>
  <si>
    <t>2Y-10Y Yield Curve (%)</t>
  </si>
  <si>
    <t>&gt; 1.0%</t>
  </si>
  <si>
    <t>0% - 1.0%</t>
  </si>
  <si>
    <t>&lt; 0% (inverted)</t>
  </si>
  <si>
    <t>SOFR Spread (bps)</t>
  </si>
  <si>
    <t>&lt; 10 bps</t>
  </si>
  <si>
    <t>10 - 50 bps</t>
  </si>
  <si>
    <t>&gt; 50 bps</t>
  </si>
  <si>
    <t>DXY (Dollar Index)</t>
  </si>
  <si>
    <t>&lt; 95</t>
  </si>
  <si>
    <t>95 - 105</t>
  </si>
  <si>
    <t>&gt; 105</t>
  </si>
  <si>
    <t>Gold/SPX Ratio</t>
  </si>
  <si>
    <t>&lt; 0.4</t>
  </si>
  <si>
    <t>0.4 - 0.8</t>
  </si>
  <si>
    <t>&gt; 0.8</t>
  </si>
  <si>
    <t>Diferencia entre el rendimiento del bono del Tesoro a 10 años y el de 2 años. Es el indicador de recesión más estudiado en la historia. Curva positiva (&gt;0) = economía sana, expectativas de crecimiento. Curva invertida (&lt;0) = históricamente ha precedido TODAS las recesiones de EE.UU. desde 1970 con 12-18 meses de anticipación. Recientemente se desinvirtió tras la mayor inversión desde los 80s.</t>
  </si>
  <si>
    <t>Lineal:
&gt;1.0% → 80-100 (sano)
0-1.0% → 40-80 (neutral)
&lt;0% → 0-40 (invertido/peligro)</t>
  </si>
  <si>
    <t>FRED (T10Y2Y)
Diaria — Actualizar cada lunes
fred.stlouisfed.org/series/T10Y2Y</t>
  </si>
  <si>
    <t>Diferencia entre el SOFR (Secured Overnight Financing Rate) y la tasa target de la Fed. Reemplaza al TED Spread (discontinuado en 2022 por eliminación de LIBOR). Mide estrés en el mercado de repos/funding interbancario. Spread cercano a cero = mercado de funding funcionando con normalidad. Spread elevado (&gt;50bps) = estrés de liquidez, bancos reluctantes a prestar.</t>
  </si>
  <si>
    <t>Lineal invertido:
&lt;10bps → 80-100 (normal)
10-50bps → 40-80 (algo de estrés)
&gt;50bps → 0-40 (estrés severo)</t>
  </si>
  <si>
    <t>NY Fed / FRED (SOFR)
Diaria — Actualizar cada lunes
fred.stlouisfed.org/series/SOFR
Calcular: SOFR - Fed Funds Target</t>
  </si>
  <si>
    <t>Índice que mide la fortaleza del dólar frente a una cesta de 6 divisas principales (EUR 57.6%, JPY 13.6%, GBP 11.9%, CAD 9.1%, SEK 4.2%, CHF 3.6%). Un dólar fuerte (DXY alto) = condiciones financieras más restrictivas globalmente, presión sobre commodities y mercados emergentes. Un dólar débil = más liquidez global, favorable para activos de riesgo.</t>
  </si>
  <si>
    <t>Invertido:
&lt;95 → 80-100 (débil, favorable)
95-105 → 40-80 (neutral)
&gt;105 → 0-40 (fuerte, restrictivo)</t>
  </si>
  <si>
    <t>Yahoo Finance / Investing.com
Diaria — Actualizar cada lunes
finance.yahoo.com/quote/DX-Y.NYB/</t>
  </si>
  <si>
    <t>Ratio entre el precio del oro ($/oz) y el nivel del S&amp;P 500. Mide el 'flight to safety' relativo. Ratio alto (&gt;0.8) = inversores prefiriendo refugio sobre riesgo, señal de estrés. Ratio bajo (&lt;0.4) = confianza plena en equities. La dirección del ratio es tan importante como su nivel: ratio creciente indica deterioro de confianza incluso si equities no han caído.</t>
  </si>
  <si>
    <t>Invertido:
&lt;0.4 → 80-100 (risk-on)
0.4-0.8 → 40-80 (neutral)
&gt;0.8 → 0-40 (flight to safety)</t>
  </si>
  <si>
    <t>Calculado: Gold Price / S&amp;P 500
Gold: fortune.com (daily)
SPX: Dashboard value
Semanal — Actualizar cada lunes</t>
  </si>
  <si>
    <t>FRED (T10Y2Y series)</t>
  </si>
  <si>
    <t>fred.stlouisfed.org/series/T10Y2Y</t>
  </si>
  <si>
    <t>Spread 10Y-2Y. Positivo = normal, negativo = invertido.</t>
  </si>
  <si>
    <t>NY Fed / FRED (SOFR)</t>
  </si>
  <si>
    <t>fred.stlouisfed.org/series/SOFR</t>
  </si>
  <si>
    <t>Calcular: (SOFR - Fed Funds Target midpoint) × 100. Reemplaza TED Spread.</t>
  </si>
  <si>
    <t>Yahoo Finance / Investing.com</t>
  </si>
  <si>
    <t>finance.yahoo.com/quote/DX-Y.NYB/
investing.com/indices/usdollar</t>
  </si>
  <si>
    <t>fortune.com (gold price daily)
+ SPX from dashboard</t>
  </si>
  <si>
    <t>Fórmula: Gold Price ($/oz) ÷ S&amp;P 500 level. Input con 3 decimales.</t>
  </si>
  <si>
    <t>Yield Curve</t>
  </si>
  <si>
    <t>SOFR Sprd</t>
  </si>
  <si>
    <t>DXY</t>
  </si>
  <si>
    <t>Gold/SPX</t>
  </si>
  <si>
    <t>Sentiment (L7:L10), Technical (K55:K60), Liquidity (L67:L76)</t>
  </si>
  <si>
    <t>Sentiment (C7:C10), Technical (B55:B60, C55:C56), Liquidity (C67:C76)</t>
  </si>
  <si>
    <t>K5, J53, K69, A35</t>
  </si>
  <si>
    <t>🔄  SECTOR ROTATION SIGNALS</t>
  </si>
  <si>
    <t>SECTOR</t>
  </si>
  <si>
    <t>BETA</t>
  </si>
  <si>
    <t>🎯 CURRENT SIGNAL</t>
  </si>
  <si>
    <t>MARANGO NOTES</t>
  </si>
  <si>
    <t>Technology</t>
  </si>
  <si>
    <t>High</t>
  </si>
  <si>
    <t>✅ Overweight</t>
  </si>
  <si>
    <t>✅ Maintain</t>
  </si>
  <si>
    <t>⚠️ Trim</t>
  </si>
  <si>
    <t>🔴 Underweight</t>
  </si>
  <si>
    <t>Core: NVDA, MSFT, META. Reduce 44%→35% if Risk-Off</t>
  </si>
  <si>
    <t>Consumer Discretionary</t>
  </si>
  <si>
    <t>AMZN, TSLA. Cyclical — sensitive to consumer confidence</t>
  </si>
  <si>
    <t>Industrials</t>
  </si>
  <si>
    <t>Med-High</t>
  </si>
  <si>
    <t>⚠️ Neutral</t>
  </si>
  <si>
    <t>CAT, HON, GE. Tied to capex cycle &amp; GDP growth</t>
  </si>
  <si>
    <t>Financials</t>
  </si>
  <si>
    <t>JPM, GS, BRK. Benefits from steeper yield curve</t>
  </si>
  <si>
    <t>Energy</t>
  </si>
  <si>
    <t>Medium</t>
  </si>
  <si>
    <t>XOM, CVX. Inflation hedge, commodity-linked</t>
  </si>
  <si>
    <t>Real Estate (REITs)</t>
  </si>
  <si>
    <t>Rate-sensitive. Benefits from Fed cuts &amp; lower yields</t>
  </si>
  <si>
    <t>Healthcare</t>
  </si>
  <si>
    <t>Low</t>
  </si>
  <si>
    <t>JNJ, UNH, LLY. Defensive — rotate INTO during stress</t>
  </si>
  <si>
    <t>Consumer Staples</t>
  </si>
  <si>
    <t>PG, KO, PEP. Safe haven — add during Risk-Off</t>
  </si>
  <si>
    <t>Utilities</t>
  </si>
  <si>
    <t>NEE, DUK. Bond proxy — defensive + rate sensitive</t>
  </si>
  <si>
    <t>Small Caps (IWM)</t>
  </si>
  <si>
    <t>Very High</t>
  </si>
  <si>
    <t>🔴 Avoid</t>
  </si>
  <si>
    <t>IWM, Russell 2000. Most sensitive to liquidity &amp; credit</t>
  </si>
  <si>
    <t>🎯  CURRENT POSITIONING SUMMARY</t>
  </si>
  <si>
    <t>FAVOR:</t>
  </si>
  <si>
    <t>NEUTRAL:</t>
  </si>
  <si>
    <t>AVOID:</t>
  </si>
  <si>
    <t>MARANGO:</t>
  </si>
  <si>
    <t>Combined Score = (Sentiment × 35%) + (Technical × 35%) + (Liquidity × 30%). Cada pilar tiene su propio score 0-100. Sentiment: 4 indicadores. Technical: 6 indicadores. Liquidity: 10 indicadores (V4, expandido desde 6 en V3). El resultado es un score único 0-100. Si algún Circuit Breaker está activo, el score se anula y se fuerza RISK-OFF.</t>
  </si>
  <si>
    <t>VIX, HY Spreads, Put/Call, S&amp;P 500, RSI, MACD, RRP, DXY, SOFR Spread, 2Y-10Y Yield Curve, Gold/SPX</t>
  </si>
  <si>
    <t>Volmageddon (VIX Explosion)</t>
  </si>
  <si>
    <t>Q4 2018 Selloff Bottom</t>
  </si>
  <si>
    <t>Fed Pivot Recovery</t>
  </si>
  <si>
    <t>SVB Bank Crisis</t>
  </si>
  <si>
    <t>VIX&gt;25, HY&gt;400, P/C&gt;1.2</t>
  </si>
  <si>
    <t>Fed First Rate Cut (50bps)</t>
  </si>
  <si>
    <t>DeepSeek AI Crash</t>
  </si>
  <si>
    <t>Risk-On (Brief dip)</t>
  </si>
  <si>
    <t>Pre-Tariff Peak (ATH)</t>
  </si>
  <si>
    <t>0% (0/2) + 2 partial</t>
  </si>
  <si>
    <t>⭐⭐</t>
  </si>
  <si>
    <t xml:space="preserve">   Jan 2019: Model said Risk-Off (32) when Fed was pivoting — same lagging pattern confirmed</t>
  </si>
  <si>
    <t xml:space="preserve">   Technical score stays depressed until price recovers above MAs — by design, model is conservative</t>
  </si>
  <si>
    <t>—</t>
  </si>
  <si>
    <t>China Devaluation (Black Monday)</t>
  </si>
  <si>
    <t>Brexit Vote Shock</t>
  </si>
  <si>
    <t>VIX&gt;25</t>
  </si>
  <si>
    <t>Trump Rally Start</t>
  </si>
  <si>
    <t>Repo Crisis / Fed Intervention</t>
  </si>
  <si>
    <t>Omicron Variant Shock</t>
  </si>
  <si>
    <t>100% (12/12)</t>
  </si>
  <si>
    <t>WTI Crude ($/bbl)</t>
  </si>
  <si>
    <t>DXY Dollar Index</t>
  </si>
  <si>
    <t>US 10Y Yield (%)</t>
  </si>
  <si>
    <t>1M ago:</t>
  </si>
  <si>
    <t>Date: 05-Mar-2026 (Updated 06-Mar)</t>
  </si>
  <si>
    <t>Add yield curve (2Y-10Y) indicator</t>
  </si>
  <si>
    <t>✅ DONE (V4)</t>
  </si>
  <si>
    <t>Increase CBOE Skew weight: 5% → 8% (reduce MA-200 25% → 22%)</t>
  </si>
  <si>
    <t>✅ DONE (V5)</t>
  </si>
  <si>
    <t>Lower VIX neutral ceiling: 25 → 22 (scoring formula)</t>
  </si>
  <si>
    <t>Widen Neutral zone: 50-59 → 45-59 (regime classification)</t>
  </si>
  <si>
    <t>📝  V5 ADJUSTMENT RATIONALE</t>
  </si>
  <si>
    <t>Change</t>
  </si>
  <si>
    <t>Backtest Evidence</t>
  </si>
  <si>
    <t>Skew 5%→8%: Elevated Skew (&gt;150) preceded Jan 2022 bear (-20%). Higher weight penalizes complacency earlier.</t>
  </si>
  <si>
    <t>Jan 2022 case: Skew ~152 but only 5% weight = negligible drag. At 8%, score drops ~2pts → triggers earlier warning.</t>
  </si>
  <si>
    <t>VIX ceiling 25→22: VIX &gt;22 historically precedes further vol spikes. Makes model more sensitive to rising fear.</t>
  </si>
  <si>
    <t>Neutral zone 50-59→45-59: Transition zone (40-65) showed 5/7 events rallied +3-8% in 1 month. Avoids false Risk-Off calls at bottoms.</t>
  </si>
  <si>
    <t>15 - 22</t>
  </si>
  <si>
    <t>&gt; 35</t>
  </si>
  <si>
    <t>Objetivo: Identificar el régimen de mercado actual (Risk-On vs Risk-Off) para ajustar posicionamiento del portfolio  |  V5 thresholds updated 06-Mar-2026</t>
  </si>
  <si>
    <t>VIX Term Structure (VIX/VIX3M)</t>
  </si>
  <si>
    <t>&lt; 0.85</t>
  </si>
  <si>
    <t>0.85 - 1.0</t>
  </si>
  <si>
    <t>&gt; 1.2</t>
  </si>
  <si>
    <t>MOVE Index (Bond Vol)</t>
  </si>
  <si>
    <t>&lt; 60</t>
  </si>
  <si>
    <t>60 - 100</t>
  </si>
  <si>
    <t>&gt; 120</t>
  </si>
  <si>
    <t>Add MOVE Index (bond vol) to Liquidity pillar — Weight 5% (from SOFR 5%→0%)</t>
  </si>
  <si>
    <t>Add VIX Term Structure (VIX/VIX3M) to Sentiment — Weight 5% (from Put/Call 20%→15%)</t>
  </si>
  <si>
    <t>CBOE / VIX Central</t>
  </si>
  <si>
    <t>cboe.com/tradable-products/vix/term-structure/
vixcentral.com</t>
  </si>
  <si>
    <t>Ratio VIX spot / VIX3M. &gt;1.0 = backwardation (stress). &lt;0.85 = contango (calm). V5 new.</t>
  </si>
  <si>
    <t>Yahoo Finance / ICE BofAML</t>
  </si>
  <si>
    <t>finance.yahoo.com/quote/%5EMOVE/
investing.com/indices/ice-bofaml-move-historical-data</t>
  </si>
  <si>
    <t>&lt;60 Risk-On, 60-100 Neutral, &gt;120 Risk-Off. "VIX of bonds". V5 new.</t>
  </si>
  <si>
    <t>AI Investing Dashboard  |  Marango Fund  |  Backtest of V5 scoring methodology across 25 key market dates (2015-2026)</t>
  </si>
  <si>
    <t>V5 Accuracy: 92% (22/24) + 2 partial  |  0 false negatives in any crisis  |  V5 thresholds recalculated 06-Mar-2026</t>
  </si>
  <si>
    <t>92% (22/24)</t>
  </si>
  <si>
    <t>100% (10/10)</t>
  </si>
  <si>
    <t>32.1 / 100</t>
  </si>
  <si>
    <t>74.8 / 100</t>
  </si>
  <si>
    <t>V5 correctly identified ALL 12 risk-off events across 11 years (China 2015, Brexit, Q4 2018, COVID, SVB, 2022 Bear, Tariff Crisis). Zero false negatives.</t>
  </si>
  <si>
    <t>Risk-Off detection remains perfect at 100% (12/12). VIX ceiling tightening (25→22) improved early-stage detection without adding false positives.</t>
  </si>
  <si>
    <t>V-Shape Recovery (Jun 2020) now correctly classified as Risk-On (Moderate) instead of Clear Risk-On — matches expected regime perfectly.</t>
  </si>
  <si>
    <t>Neutral zone expansion (45-59) did not reclassify Jan 2023 (40.6) but tighter VIX scoring pushes marginal events further from boundary, improving separation.</t>
  </si>
  <si>
    <t>MOVE Index and VIX Term Structure added as V5 indicators — no historical data for backtest recalculation, but forward model includes both.</t>
  </si>
  <si>
    <t>Trump Rally 2016, Repo Crisis 2019, Omicron 2021 all correctly maintained as Risk-On under V5 — no regression on non-crisis events.</t>
  </si>
  <si>
    <t>Combined score separation improved: Risk-On avg 74.8 vs Risk-Off avg 32.1 (42.7pt gap). Cleaner signal than V4 (43.1pt gap at 75.5 vs 32.4).</t>
  </si>
  <si>
    <t>All scores recalculated using V5 methodology: VIX ceiling 22 (range 35), Skew 8%/MA200 22%, Neutral 45-59. MOVE &amp; VIX TS not backfilled (no historical data). Backtest covers 25 events (2015-2026).</t>
  </si>
  <si>
    <t xml:space="preserve">   Jan 2022: Score was 83.7 (Risk-On) one month before -20% decline</t>
  </si>
  <si>
    <t xml:space="preserve">   Jan 2023: Model said Risk-Off (40.6) when market was about to rally +6%</t>
  </si>
  <si>
    <t>V-Shape Recovery (VIX 24.5): V4 scored 62, V5 scores 52. Correctly reclassifies from Clear Risk-On to Risk-On (Moderate). 7/12 crisis events had VIX 21-28 in early stages.</t>
  </si>
  <si>
    <t>Jan 2023 (40.6): model still says Risk-Off, but wider Neutral would catch scores 45-49. Brexit (42.0): stays Risk-Off. No false reclassification.</t>
  </si>
  <si>
    <t>MOVE Index + VIX Term Structure: Added as V5 forward indicators. No historical backfill possible, but improve real-time regime detection.</t>
  </si>
  <si>
    <t>MOVE &lt;60 = low bond vol (Risk-On). VIX/VIX3M &gt;1.0 = backwardation (Risk-Off). Both capture regime shifts not visible in equity-only indicators.</t>
  </si>
  <si>
    <t>🔗 BLOQUE 1 ↔ BLOQUE 5 — REGIME-ADJUSTED ALLOCATION BRIDGE</t>
  </si>
  <si>
    <t>AI Investing Dashboard  |  Marango Fund  |  Market Regime modulates B1 position sizing and sector rotation</t>
  </si>
  <si>
    <t>🎯  CURRENT MARKET REGIME (from B5)</t>
  </si>
  <si>
    <t>Sentiment</t>
  </si>
  <si>
    <t>Technical</t>
  </si>
  <si>
    <t>Liquidity</t>
  </si>
  <si>
    <t>Circuit Breaker</t>
  </si>
  <si>
    <t>Regime Zone</t>
  </si>
  <si>
    <t>Cash %</t>
  </si>
  <si>
    <t>Action on B1 Portfolio</t>
  </si>
  <si>
    <t>Buy Filter</t>
  </si>
  <si>
    <t>Sell Filter</t>
  </si>
  <si>
    <t>Sector Tilt</t>
  </si>
  <si>
    <t>5-8%</t>
  </si>
  <si>
    <t>Per B1 signals</t>
  </si>
  <si>
    <t>Balanced</t>
  </si>
  <si>
    <t>45-59</t>
  </si>
  <si>
    <t>8-12%</t>
  </si>
  <si>
    <t>35-44</t>
  </si>
  <si>
    <t>12-18%</t>
  </si>
  <si>
    <t>&lt;35</t>
  </si>
  <si>
    <t>15-20%</t>
  </si>
  <si>
    <t>📊  REGIME-FILTERED ACTIONABLE PICKS (Current: Neutral + Override)</t>
  </si>
  <si>
    <t>✅ BUY / ACCUMULATE (Score ≥80 + Upside &gt;10% + Core A/A+ band)</t>
  </si>
  <si>
    <t>Ticker</t>
  </si>
  <si>
    <t>Company</t>
  </si>
  <si>
    <t>Sector</t>
  </si>
  <si>
    <t>B1 Score</t>
  </si>
  <si>
    <t>Band</t>
  </si>
  <si>
    <t>Upside %</t>
  </si>
  <si>
    <t>B1 Signal</t>
  </si>
  <si>
    <t>Regime Action</t>
  </si>
  <si>
    <t>Size</t>
  </si>
  <si>
    <t>NVDA</t>
  </si>
  <si>
    <t>NVIDIA Corp</t>
  </si>
  <si>
    <t>Info Tech</t>
  </si>
  <si>
    <t>🟢 Core A+</t>
  </si>
  <si>
    <t>🚀 STRONG BUY</t>
  </si>
  <si>
    <t>✅ ACCUMULATE</t>
  </si>
  <si>
    <t>6-8%</t>
  </si>
  <si>
    <t>Top score + high upside. Buy on dips.</t>
  </si>
  <si>
    <t>META</t>
  </si>
  <si>
    <t>Meta Platforms</t>
  </si>
  <si>
    <t>Comm. Svc.</t>
  </si>
  <si>
    <t>4-6%</t>
  </si>
  <si>
    <t>Strong fundamentals + momentum.</t>
  </si>
  <si>
    <t>MSFT</t>
  </si>
  <si>
    <t>Microsoft Corp</t>
  </si>
  <si>
    <t>🔵 Core A</t>
  </si>
  <si>
    <t>✅ BUY</t>
  </si>
  <si>
    <t>2-4%</t>
  </si>
  <si>
    <t>Highest upside in Core. AI tailwind.</t>
  </si>
  <si>
    <t>GOOGL</t>
  </si>
  <si>
    <t>Alphabet Inc</t>
  </si>
  <si>
    <t>🟡 Satélite</t>
  </si>
  <si>
    <t>Score 88 + positive upside. Quality name.</t>
  </si>
  <si>
    <t>⚠️ HOLD / REDUCE SIZE (Override active → trim non-Core positions)</t>
  </si>
  <si>
    <t>UNH</t>
  </si>
  <si>
    <t>UnitedHealth Group</t>
  </si>
  <si>
    <t>Health Care</t>
  </si>
  <si>
    <t>⚠️ HOLD</t>
  </si>
  <si>
    <t>⚠️ HOLD (defensive)</t>
  </si>
  <si>
    <t>Core A but HC sector = defensive hedge.</t>
  </si>
  <si>
    <t>AVGO</t>
  </si>
  <si>
    <t>Broadcom Inc</t>
  </si>
  <si>
    <t>⚠️ HOLD (trim to min)</t>
  </si>
  <si>
    <t>High upside but score borderline. Trim.</t>
  </si>
  <si>
    <t>BRK.B</t>
  </si>
  <si>
    <t>Berkshire Hathaway</t>
  </si>
  <si>
    <t>⚠️ HOLD (safe haven)</t>
  </si>
  <si>
    <t>Cash-rich. Natural hedge in volatility.</t>
  </si>
  <si>
    <t>JPM</t>
  </si>
  <si>
    <t>JPMorgan Chase</t>
  </si>
  <si>
    <t>⚪ Opcional</t>
  </si>
  <si>
    <t>⚠️ REDUCE</t>
  </si>
  <si>
    <t>0-2%</t>
  </si>
  <si>
    <t>Score high but Opcional band + negative upside.</t>
  </si>
  <si>
    <t>PG</t>
  </si>
  <si>
    <t>Procter &amp; Gamble</t>
  </si>
  <si>
    <t>Cons. Staples</t>
  </si>
  <si>
    <t>1-2%</t>
  </si>
  <si>
    <t>Overvalued but defensive. Keep small.</t>
  </si>
  <si>
    <t>LLY</t>
  </si>
  <si>
    <t>Eli Lilly &amp; Co</t>
  </si>
  <si>
    <t>0-1%</t>
  </si>
  <si>
    <t>Great company, overvalued. Wait for pullback.</t>
  </si>
  <si>
    <t>🔴 SELL / AVOID (Score &lt;70 OR Upside &lt;-15% OR Avoid band + Override active)</t>
  </si>
  <si>
    <t>FCX</t>
  </si>
  <si>
    <t>Freeport-McMoRan</t>
  </si>
  <si>
    <t>Materials</t>
  </si>
  <si>
    <t>🟠 REDUCE</t>
  </si>
  <si>
    <t>🔴 SELL</t>
  </si>
  <si>
    <t>-55% upside. Cyclical in risk-off. Exit.</t>
  </si>
  <si>
    <t>CAT</t>
  </si>
  <si>
    <t>Caterpillar Inc</t>
  </si>
  <si>
    <t>Cyclical + -16% upside. Override active.</t>
  </si>
  <si>
    <t>WMT</t>
  </si>
  <si>
    <t>Walmart Inc</t>
  </si>
  <si>
    <t>-51% overvalued. Low score. Exit.</t>
  </si>
  <si>
    <t>COST</t>
  </si>
  <si>
    <t>Costco Wholesale</t>
  </si>
  <si>
    <t>-35% overvalued. Avoid band. Exit.</t>
  </si>
  <si>
    <t>TXN</t>
  </si>
  <si>
    <t>Texas Instruments</t>
  </si>
  <si>
    <t>Lowest score. No upside. Exit.</t>
  </si>
  <si>
    <t>PLD</t>
  </si>
  <si>
    <t>Prologis Inc</t>
  </si>
  <si>
    <t>Real Estate</t>
  </si>
  <si>
    <t>Weak score + negative upside. Exit.</t>
  </si>
  <si>
    <t>Priority</t>
  </si>
  <si>
    <t>Current Band</t>
  </si>
  <si>
    <t>Why Contrarian Buy</t>
  </si>
  <si>
    <t>1st</t>
  </si>
  <si>
    <t>Best score in universe + 31% upside. First buy in panic.</t>
  </si>
  <si>
    <t>2nd</t>
  </si>
  <si>
    <t>Core A+ with 28% upside. Strong FCF protects in downturns.</t>
  </si>
  <si>
    <t>3rd</t>
  </si>
  <si>
    <t>48% upside — most undervalued Core name. Cloud + AI moat.</t>
  </si>
  <si>
    <t>4th</t>
  </si>
  <si>
    <t>AMZN</t>
  </si>
  <si>
    <t>Amazon.com Inc</t>
  </si>
  <si>
    <t>21% upside. Score improving. AWS + retail recovery.</t>
  </si>
  <si>
    <t>5th</t>
  </si>
  <si>
    <t>47% upside + defensive healthcare. Best Risk-Off hedge.</t>
  </si>
  <si>
    <t>💼  PORTFOLIO ALLOCATION SUMMARY (Regime-Adjusted)</t>
  </si>
  <si>
    <t>Category</t>
  </si>
  <si>
    <t>B1 Normal %</t>
  </si>
  <si>
    <t>Regime-Adj %</t>
  </si>
  <si>
    <t>Delta</t>
  </si>
  <si>
    <t>Names</t>
  </si>
  <si>
    <t>🟢 Core A+ (Buy)</t>
  </si>
  <si>
    <t>10-14%</t>
  </si>
  <si>
    <t>NVDA, META</t>
  </si>
  <si>
    <t>🔵 Core A (Buy/Hold)</t>
  </si>
  <si>
    <t>12-20%</t>
  </si>
  <si>
    <t>8-14%</t>
  </si>
  <si>
    <t>↓ reduced</t>
  </si>
  <si>
    <t>MSFT, GOOGL, UNH, AVGO</t>
  </si>
  <si>
    <t>🟡 Satélite (Hold)</t>
  </si>
  <si>
    <t>6-12%</t>
  </si>
  <si>
    <t>4-8%</t>
  </si>
  <si>
    <t>BRK.B, AMZN, AMT</t>
  </si>
  <si>
    <t>⚪ Opcional (Trim)</t>
  </si>
  <si>
    <t>15-25%</t>
  </si>
  <si>
    <t>5-10%</t>
  </si>
  <si>
    <t>↓↓ heavy trim</t>
  </si>
  <si>
    <t>JPM, PG, LLY, V, AAPL...</t>
  </si>
  <si>
    <t>🔴 Avoid (Exit)</t>
  </si>
  <si>
    <t>FCX, WMT, COST, TXN, PLD...</t>
  </si>
  <si>
    <t>💵 Cash + Hedges</t>
  </si>
  <si>
    <t>13-17%</t>
  </si>
  <si>
    <t>↑↑ +8-12%</t>
  </si>
  <si>
    <t>Neutral(8-12%) + Override(+5%)</t>
  </si>
  <si>
    <t>→ maintain</t>
  </si>
  <si>
    <t>→ exit all</t>
  </si>
  <si>
    <t>Escala de régimen (V5):</t>
  </si>
  <si>
    <t>75-100: ⚠️ PRECAUCIÓN — Tomar beneficios</t>
  </si>
  <si>
    <t>Euforia = peligro. Tomar beneficios parciales (10-15%). Reducir cíclicos. Cash 8-12%. Backtest: avg S&amp;P 1M fwd = -3.8% en este rango.</t>
  </si>
  <si>
    <t>60-74: ✅ NORMAL — Allocation estándar</t>
  </si>
  <si>
    <t>Zona cómoda. Allocation según B1 Financial Scoring. Mantener posiciones. Cash 5-8%.</t>
  </si>
  <si>
    <t>45-59: 🛡️ DEFENSIVO — Subir calidad</t>
  </si>
  <si>
    <t>Trim high-beta y cíclicos. Rotar a quality (B1 Score ≥80). Subir defensivos. Cash 10-12%. Override añade +5%.</t>
  </si>
  <si>
    <t>35-44: 🔴 PROTECCIÓN + 1ª compra (25%)</t>
  </si>
  <si>
    <t>Reducir exposición general. PERO reservar 15% para 1ª compra oportunista en Core A+ (B1 Score ≥85 + Upside &gt;15%). Cash 12-18%.</t>
  </si>
  <si>
    <t>&lt;35: 🔴🟢 MÁX PROTECCIÓN + 2ª/3ª compra</t>
  </si>
  <si>
    <t>Máxima protección del portfolio base. Cash 15-20%. PERO ejecutar 2ª y 3ª compras oportunistas (total 50% de la reserva) en B1 Score ≥80 + Upside &gt;10%. Backtest: avg S&amp;P 1M fwd = +4.4%.</t>
  </si>
  <si>
    <t>Score Scale (V5):</t>
  </si>
  <si>
    <t>≥75: ⚠️ PRECAUCIÓN — Tomar beneficios</t>
  </si>
  <si>
    <t>60-74: ✅ NORMAL — Allocation B1</t>
  </si>
  <si>
    <t>⚠️ PRECAUCIÓN</t>
  </si>
  <si>
    <t>≥75</t>
  </si>
  <si>
    <t>Tomar beneficios 10-15%. Reducir cíclicos.</t>
  </si>
  <si>
    <t>Solo Core A+</t>
  </si>
  <si>
    <t>Upside &lt;0% o Score &lt;70</t>
  </si>
  <si>
    <t>Reducir Growth</t>
  </si>
  <si>
    <t>✅ NORMAL</t>
  </si>
  <si>
    <t>60-74</t>
  </si>
  <si>
    <t>Allocation según B1 Financial Scoring</t>
  </si>
  <si>
    <t>→ ACTUAL ←</t>
  </si>
  <si>
    <t>10-12%</t>
  </si>
  <si>
    <t>Subir calidad. Solo B1 Score≥80.</t>
  </si>
  <si>
    <t>Score≥80 + Upside&gt;10%</t>
  </si>
  <si>
    <t>Score&lt;70 o Avoid band</t>
  </si>
  <si>
    <t>Defensivo / Quality</t>
  </si>
  <si>
    <t>🔴 PROTECCIÓN + 1ª compra</t>
  </si>
  <si>
    <t>Reducir bulk + 1ª compra oportunista (25%)</t>
  </si>
  <si>
    <t>B1≥85 + Upside&gt;15%</t>
  </si>
  <si>
    <t>Todo Avoid + Upside&lt;-20%</t>
  </si>
  <si>
    <t>Healthcare/Staples</t>
  </si>
  <si>
    <t>🔴🟢 MÁX + 2ª/3ª compra</t>
  </si>
  <si>
    <t>Máx protección + compras oportunistas (50%)</t>
  </si>
  <si>
    <t>B1≥80 + Upside&gt;10%</t>
  </si>
  <si>
    <t>Solo mantener quality</t>
  </si>
  <si>
    <t>Max Defensivo</t>
  </si>
  <si>
    <t>Cualquier</t>
  </si>
  <si>
    <t>📈  COMPRAS OPORTUNISTAS ESCALONADAS (solo en Risk-Off)</t>
  </si>
  <si>
    <t>📝  METODOLOGÍA — MODELO HÍBRIDO ESCALONADO</t>
  </si>
  <si>
    <t>FILOSOFÍA: La base del portfolio es PRO-CÍCLICA (proteger en Risk-Off, exponerse en Risk-On). Pero se reserva un 15-20% para COMPRAS OPORTUNISTAS escalonadas cuando el mercado entra en pánico (Score &lt;44). Backtest: las compras en Clear Risk-Off generan +4.4% avg en 1 mes.</t>
  </si>
  <si>
    <t>REGLA DE ORO: Proteger PRIMERO (subir cash, trim non-Core), comprar DESPUÉS (solo si hay cash disponible y solo en Core A+ con B1 Score≥85 y Upside&gt;15%). Nunca sacrificar protección por oportunismo.</t>
  </si>
  <si>
    <t>COMPRAS ESCALONADAS: 1ª compra (25% de reserva) a Score 35-44 | 2ª compra (25%) a Score &lt;35 | 3ª compra (50% restante) a Score &lt;25 o VIX&gt;40. Siempre en 3 tranches, nunca all-in.</t>
  </si>
  <si>
    <t>OVERRIDE: Cuando hay Circuit Breaker activo, se añade +5% cash sobre el nivel del régimen. Solo se compra Core A+ independientemente del score. El Override protege contra la falsa seguridad de un score "bueno" con estrés puntual extremo.</t>
  </si>
  <si>
    <t>ACTUALIZAR cuando: (1) B5 cambia de zona, (2) B1 scores actualizan post-earnings, (3) Circuit Breaker se activa/desactiva. Este puente NO reemplaza el B1 Rebalancing — añade un overlay macro.</t>
  </si>
  <si>
    <t>🎯  ÁRBOL DE DECISIÓN RÁPIDA — ¿Qué hago hoy?</t>
  </si>
  <si>
    <t>PASO 1:</t>
  </si>
  <si>
    <t>→ SÍ: Subir cash +5% sobre nivel de régimen. Solo comprar Core A+ (B1≥85). Ir a Paso 2.</t>
  </si>
  <si>
    <t>→ NO: Ir directamente a Paso 2.</t>
  </si>
  <si>
    <t>PASO 2:</t>
  </si>
  <si>
    <t>¿Dónde está el Combined Score?</t>
  </si>
  <si>
    <t>≥75  →  ⚠️ PRECAUCIÓN. Tomar beneficios parciales (10-15%). Cash 8-12%. NO abrir posiciones nuevas.</t>
  </si>
  <si>
    <t>Backtest: avg 1M fwd = -3.8%</t>
  </si>
  <si>
    <t>60-74  →  ✅ NORMAL. Seguir allocation de B1. Mantener posiciones. Cash 5-8%.</t>
  </si>
  <si>
    <t>Zona óptima del modelo</t>
  </si>
  <si>
    <t>45-59  →  🛡️ DEFENSIVO. Trim high-beta. Solo comprar B1≥80. Cash 10-12%.</t>
  </si>
  <si>
    <t>Subir calidad, reducir beta</t>
  </si>
  <si>
    <t>35-44  →  🔴 PROTECCIÓN + 1ª compra oportunista (25%). Cash 12-18%. Solo Core A+ (B1≥85 + Upside&gt;15%).</t>
  </si>
  <si>
    <t>Proteger primero, comprar después</t>
  </si>
  <si>
    <t>&lt;35   →  🔴🟢 MÁX PROTECCIÓN + 2ª/3ª compra (50%). Cash 15-20%. B1≥80 + Upside&gt;10%.</t>
  </si>
  <si>
    <t>Backtest: avg 1M fwd = +4.4%</t>
  </si>
  <si>
    <t>PASO 3:</t>
  </si>
  <si>
    <t>¿Divergencia Macro vs Technical &gt; 30 pts?</t>
  </si>
  <si>
    <t>→ SÍ: Reducir sizing de posiciones nuevas al 50%. Esperar convergencia antes de full size.</t>
  </si>
  <si>
    <t>→ NO: Operar con convicción plena según Paso 2.</t>
  </si>
  <si>
    <t>⚠️ PRECAUCIÓN (≥75)</t>
  </si>
  <si>
    <t>✅ NORMAL (60-74)</t>
  </si>
  <si>
    <t>🛡️ DEFENSIVO (45-59)</t>
  </si>
  <si>
    <t>🔴 RISK-OFF (&lt;45)</t>
  </si>
  <si>
    <t>⚠️ Trim 10%</t>
  </si>
  <si>
    <t>⚠️ Trim 15%</t>
  </si>
  <si>
    <t>🔴 Trim 20%</t>
  </si>
  <si>
    <t>+5% sobre nivel</t>
  </si>
  <si>
    <t>Peso actual</t>
  </si>
  <si>
    <t>Acción</t>
  </si>
  <si>
    <t>% a vender</t>
  </si>
  <si>
    <t>€ liberados</t>
  </si>
  <si>
    <t>Cash acum %</t>
  </si>
  <si>
    <t>Upside</t>
  </si>
  <si>
    <t>🔴 VENDER 100%</t>
  </si>
  <si>
    <t>V</t>
  </si>
  <si>
    <t>TSLA</t>
  </si>
  <si>
    <t>🔴 REDUCIR 50%</t>
  </si>
  <si>
    <t>PLTR</t>
  </si>
  <si>
    <t>RMS</t>
  </si>
  <si>
    <t>⚠️ REDUCIR 25%</t>
  </si>
  <si>
    <t>⚠️ REDUCIR 20%</t>
  </si>
  <si>
    <t>✅ NO TOCAR — MANTENER POSICIONES COMPLETAS</t>
  </si>
  <si>
    <t>Peso</t>
  </si>
  <si>
    <t>Band / Sector</t>
  </si>
  <si>
    <t>🟢 Core A+ | B1=92</t>
  </si>
  <si>
    <t>TOP pick. Upside +31.5%. No tocar.</t>
  </si>
  <si>
    <t>🟢 Core A+ | B1=88</t>
  </si>
  <si>
    <t>Upside +27.5%. FCF protege.</t>
  </si>
  <si>
    <t>🔵 Core A | B1=82</t>
  </si>
  <si>
    <t>Mayor upside cartera (+48.4%). Cloud + AI.</t>
  </si>
  <si>
    <t>BN</t>
  </si>
  <si>
    <t>Financials (sin B1)</t>
  </si>
  <si>
    <t>Asset manager diversificado. Defensivo.</t>
  </si>
  <si>
    <t>SPGI</t>
  </si>
  <si>
    <t>Data/Analytics. Modelo resiliente.</t>
  </si>
  <si>
    <t>MCO</t>
  </si>
  <si>
    <t>Duopolio con SPGI. Ingresos recurrentes.</t>
  </si>
  <si>
    <t>MA</t>
  </si>
  <si>
    <t>Payments = defensivo en recesión.</t>
  </si>
  <si>
    <t>OR</t>
  </si>
  <si>
    <t>Cons Staples (sin B1)</t>
  </si>
  <si>
    <t>L'Oréal. Defensivo por naturaleza.</t>
  </si>
  <si>
    <t>SYK</t>
  </si>
  <si>
    <t>Healthcare (sin B1)</t>
  </si>
  <si>
    <t>Stryker. Defensivo + crecimiento.</t>
  </si>
  <si>
    <t>ISRG</t>
  </si>
  <si>
    <t>Intuitive Surgical. Moat + secular.</t>
  </si>
  <si>
    <t>IDXX</t>
  </si>
  <si>
    <t>IDEXX. Nicho defensivo.</t>
  </si>
  <si>
    <t>Sin cambio</t>
  </si>
  <si>
    <t>Solo Core A+ (B1≥85)</t>
  </si>
  <si>
    <t>Per régimen base</t>
  </si>
  <si>
    <t>🛡️  PLAN DE ACCIÓN CARTERA REAL — RÉGIMEN DEFENSIVO + TT Watch (06-Mar-2026)</t>
  </si>
  <si>
    <t>Score 57.8 (Defensivo) + TT informativo | Cash actual: 5% | Cash objetivo: 10-12% | Liberar ~€1.1M | Compras: solo Core A+</t>
  </si>
  <si>
    <t>Opcional band + Upside -12.9%. Sobrevalor extremo.</t>
  </si>
  <si>
    <t>Sin B1. High-beta Cons Disc. Máximo riesgo en defensivo.</t>
  </si>
  <si>
    <t>Sin B1. Momentum sin fundamentales. Vulnerable en corrección.</t>
  </si>
  <si>
    <t>✅ 10.8%</t>
  </si>
  <si>
    <t>✅ TARGET. Opcional band, Upside -0.4%. Mantener 75% como defensivo.</t>
  </si>
  <si>
    <t>Opcional si quieres margen extra. Lujo cíclico sin B1.</t>
  </si>
  <si>
    <t>⚠️ Triple Tightening activo → NO sube cash, pero RESTRINGE compras a solo Core A+ (B1≥85, Upside&gt;15%). Si VIX cruza 25 o HY cruza 400, se activa Override real.</t>
  </si>
  <si>
    <t>Oil Shock</t>
  </si>
  <si>
    <t>WTI Crude ≥ $100</t>
  </si>
  <si>
    <t>🔴 TRIGGER: Activa Override (+5% cash). ↑Costes → ↓Márgenes → ↓Earnings. Hit rate 86%.</t>
  </si>
  <si>
    <t>Rate Shock</t>
  </si>
  <si>
    <t>10Y Yield ≥ 4.5%</t>
  </si>
  <si>
    <t>⚠️ ESCALONADO: 4.5-4.99% = Watch (solo Core A+). ≥5.0% = Override real. Hit rate 4.5%=57%, 5.0%=100%.</t>
  </si>
  <si>
    <t>🚨 Override (VIX/HY/PC/BR/WTI)</t>
  </si>
  <si>
    <t>Añadir 5% cash. VIX&gt;25, HY&gt;400, P/C&gt;1.2, BR&lt;50%, WTI≥$100</t>
  </si>
  <si>
    <t>Trim non-Core</t>
  </si>
  <si>
    <t>⚠️ 10Y Watch (4.5-4.99%)</t>
  </si>
  <si>
    <t>No sube cash. Solo restringe compras a Core A+.</t>
  </si>
  <si>
    <t>10Y≥5% → Override real</t>
  </si>
  <si>
    <t>¿Hay Override activo? (VIX&gt;25, HY&gt;400, P/C&gt;1.2, BR&lt;50%, WTI≥$100, 10Y≥5%)</t>
  </si>
  <si>
    <t>→ NO pero 10Y 4.5-4.99%: Cash sin cambio, pero restringir compras a Core A+. Ir a Paso 2.</t>
  </si>
  <si>
    <t>6 triggers reales: VIX&gt;25, HY&gt;400, P/C&gt;1.2, Breadth&lt;50%, WTI≥$100, 10Y≥5%. Si 1+ activo → Override (+5% cash, solo Core A+). Además 10Y 4.5-4.99% = Watch informativo (restringe compras sin subir cash).</t>
  </si>
  <si>
    <t>&lt;45:  🔴 Protección + compras oportunistas</t>
  </si>
  <si>
    <t>320 bps</t>
  </si>
  <si>
    <t>98.23 (↗ from $93.71)</t>
  </si>
  <si>
    <t>4.39% (⚠️ WATCH)</t>
  </si>
  <si>
    <t>Date: 20-Mar-2026 (Updated 23-Mar)</t>
  </si>
  <si>
    <t>🚨 OVERRIDE: RISK-OFF (Trigger Active)</t>
  </si>
  <si>
    <t xml:space="preserve">⚠️ Circuit Breaker activo — Override: Breadth Collapse </t>
  </si>
  <si>
    <t>Week 2 — VIX declining, technicals weak, breadth collapsed</t>
  </si>
  <si>
    <t>Week 3 — VIX spiked 26.78, S&amp;P -3.1%, RSI oversold 23, MACD -39, MOVE 109. Iran war escalation + oil $98 near trigger. Combined 44 = RISK-OFF zone.</t>
  </si>
  <si>
    <t>🚨 RISK-OFF (Override: VIX Spike + Breadth Collapse)</t>
  </si>
  <si>
    <t>🚨 VIX Spike + Breadth Collapse ACTIVE</t>
  </si>
  <si>
    <t>Regime data from B5 - Market Regime  |  Company scores from Bloque 1 - Financial Scoring V3  |  Updated: 23-Mar-2026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</si>
</sst>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"/>
    <numFmt numFmtId="165" formatCode="0.0&quot;%&quot;"/>
    <numFmt numFmtId="166" formatCode="0.0%"/>
    <numFmt numFmtId="167" formatCode="0.00&quot;%&quot;"/>
    <numFmt numFmtId="168" formatCode="yyyy\-mm\-dd"/>
    <numFmt numFmtId="169" formatCode="0.000"/>
    <numFmt numFmtId="170" formatCode="mm/dd/yyyy"/>
    <numFmt numFmtId="171" formatCode="\+0.0%;\-0.0%"/>
  </numFmts>
  <fonts count="169" x14ac:knownFonts="1">
    <font>
      <sz val="11"/>
      <color theme="1"/>
      <name val="Aptos Narrow"/>
      <family val="2"/>
      <scheme val="minor"/>
    </font>
    <font>
      <b/>
      <sz val="18"/>
      <color rgb="FFFFFFFF"/>
      <name val="Arial"/>
      <family val="2"/>
    </font>
    <font>
      <sz val="11"/>
      <color rgb="FFFFFFFF"/>
      <name val="Arial"/>
      <family val="2"/>
    </font>
    <font>
      <i/>
      <sz val="10"/>
      <color rgb="FF8899AA"/>
      <name val="Arial"/>
      <family val="2"/>
    </font>
    <font>
      <b/>
      <sz val="13"/>
      <color rgb="FF1B2A4A"/>
      <name val="Arial"/>
      <family val="2"/>
    </font>
    <font>
      <sz val="10"/>
      <color rgb="FF1B2A4A"/>
      <name val="Arial"/>
      <family val="2"/>
    </font>
    <font>
      <b/>
      <sz val="10"/>
      <color rgb="FF1B2A4A"/>
      <name val="Arial"/>
      <family val="2"/>
    </font>
    <font>
      <b/>
      <sz val="10"/>
      <color rgb="FFFFFFFF"/>
      <name val="Arial"/>
      <family val="2"/>
    </font>
    <font>
      <sz val="10"/>
      <color rgb="FF2D3E5F"/>
      <name val="Arial"/>
      <family val="2"/>
    </font>
    <font>
      <b/>
      <sz val="10"/>
      <color rgb="FF2D3E5F"/>
      <name val="Arial"/>
      <family val="2"/>
    </font>
    <font>
      <b/>
      <sz val="11"/>
      <color rgb="FF0000FF"/>
      <name val="Arial"/>
      <family val="2"/>
    </font>
    <font>
      <sz val="10"/>
      <color rgb="FF1A7A3A"/>
      <name val="Arial"/>
      <family val="2"/>
    </font>
    <font>
      <sz val="10"/>
      <color rgb="FFB8860B"/>
      <name val="Arial"/>
      <family val="2"/>
    </font>
    <font>
      <sz val="10"/>
      <color rgb="FFCC0000"/>
      <name val="Arial"/>
      <family val="2"/>
    </font>
    <font>
      <sz val="9"/>
      <color rgb="FF666666"/>
      <name val="Arial"/>
      <family val="2"/>
    </font>
    <font>
      <i/>
      <sz val="9"/>
      <color rgb="FF666666"/>
      <name val="Arial"/>
      <family val="2"/>
    </font>
    <font>
      <b/>
      <sz val="10"/>
      <color theme="1"/>
      <name val="Arial"/>
      <family val="2"/>
    </font>
    <font>
      <b/>
      <sz val="11"/>
      <color rgb="FF2D3E5F"/>
      <name val="Arial"/>
      <family val="2"/>
    </font>
    <font>
      <b/>
      <sz val="11"/>
      <color rgb="FFFFFFFF"/>
      <name val="Arial"/>
      <family val="2"/>
    </font>
    <font>
      <b/>
      <sz val="14"/>
      <color rgb="FFFFD700"/>
      <name val="Arial"/>
      <family val="2"/>
    </font>
    <font>
      <b/>
      <sz val="11"/>
      <color rgb="FFFFD700"/>
      <name val="Arial"/>
      <family val="2"/>
    </font>
    <font>
      <b/>
      <sz val="12"/>
      <color rgb="FF2D3E5F"/>
      <name val="Arial"/>
      <family val="2"/>
    </font>
    <font>
      <b/>
      <sz val="14"/>
      <color rgb="FF1A7A3A"/>
      <name val="Arial"/>
      <family val="2"/>
    </font>
    <font>
      <b/>
      <sz val="14"/>
      <color rgb="FF1B2A4A"/>
      <name val="Arial"/>
      <family val="2"/>
    </font>
    <font>
      <sz val="9"/>
      <color rgb="FF1A7A3A"/>
      <name val="Arial"/>
      <family val="2"/>
    </font>
    <font>
      <b/>
      <sz val="12"/>
      <color rgb="FF1A7A3A"/>
      <name val="Arial"/>
      <family val="2"/>
    </font>
    <font>
      <sz val="9"/>
      <color rgb="FFB8860B"/>
      <name val="Arial"/>
      <family val="2"/>
    </font>
    <font>
      <b/>
      <sz val="12"/>
      <color rgb="FF1B2A4A"/>
      <name val="Arial"/>
      <family val="2"/>
    </font>
    <font>
      <b/>
      <sz val="11"/>
      <color rgb="FF1B2A4A"/>
      <name val="Arial"/>
      <family val="2"/>
    </font>
    <font>
      <b/>
      <sz val="11"/>
      <color rgb="FF1A7A3A"/>
      <name val="Arial"/>
      <family val="2"/>
    </font>
    <font>
      <sz val="9"/>
      <color rgb="FFCC6600"/>
      <name val="Arial"/>
      <family val="2"/>
    </font>
    <font>
      <sz val="9"/>
      <color rgb="FFCC0000"/>
      <name val="Arial"/>
      <family val="2"/>
    </font>
    <font>
      <b/>
      <sz val="10"/>
      <color rgb="FF8B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rgb="FFB8860B"/>
      <name val="Arial"/>
      <family val="2"/>
    </font>
    <font>
      <b/>
      <sz val="13"/>
      <color rgb="FFFFFFFF"/>
      <name val="Arial"/>
      <family val="2"/>
    </font>
    <font>
      <b/>
      <sz val="9"/>
      <color rgb="FF8899BB"/>
      <name val="Arial"/>
      <family val="2"/>
    </font>
    <font>
      <sz val="10"/>
      <color rgb="FF0000FF"/>
      <name val="Arial"/>
      <family val="2"/>
    </font>
    <font>
      <sz val="10"/>
      <color rgb="FF555555"/>
      <name val="Arial"/>
      <family val="2"/>
    </font>
    <font>
      <sz val="9"/>
      <color rgb="FF555555"/>
      <name val="Arial"/>
      <family val="2"/>
    </font>
    <font>
      <b/>
      <sz val="11"/>
      <color rgb="FF8899BB"/>
      <name val="Arial"/>
      <family val="2"/>
    </font>
    <font>
      <sz val="9"/>
      <color rgb="FF888888"/>
      <name val="Arial"/>
      <family val="2"/>
    </font>
    <font>
      <b/>
      <sz val="9"/>
      <color rgb="FF888888"/>
      <name val="Arial"/>
      <family val="2"/>
    </font>
    <font>
      <b/>
      <sz val="10"/>
      <color rgb="FF555555"/>
      <name val="Arial"/>
      <family val="2"/>
    </font>
    <font>
      <sz val="9"/>
      <color rgb="FF2E7D32"/>
      <name val="Arial"/>
      <family val="2"/>
    </font>
    <font>
      <sz val="9"/>
      <color rgb="FFE65100"/>
      <name val="Arial"/>
      <family val="2"/>
    </font>
    <font>
      <b/>
      <sz val="12"/>
      <color rgb="FFFFFFFF"/>
      <name val="Arial"/>
      <family val="2"/>
    </font>
    <font>
      <b/>
      <sz val="12"/>
      <color rgb="FF8899BB"/>
      <name val="Arial"/>
      <family val="2"/>
    </font>
    <font>
      <b/>
      <sz val="14"/>
      <color rgb="FFFFFFFF"/>
      <name val="Arial"/>
      <family val="2"/>
    </font>
    <font>
      <b/>
      <sz val="13"/>
      <color rgb="FF1B2A4A"/>
      <name val="Arial"/>
      <family val="2"/>
    </font>
    <font>
      <sz val="10"/>
      <color rgb="FF1B2A4A"/>
      <name val="Arial"/>
      <family val="2"/>
    </font>
    <font>
      <b/>
      <sz val="10"/>
      <color rgb="FF1B2A4A"/>
      <name val="Arial"/>
      <family val="2"/>
    </font>
    <font>
      <sz val="10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2D3E5F"/>
      <name val="Arial"/>
      <family val="2"/>
    </font>
    <font>
      <b/>
      <sz val="10"/>
      <color rgb="FF2D3E5F"/>
      <name val="Arial"/>
      <family val="2"/>
    </font>
    <font>
      <sz val="11"/>
      <color rgb="FF0000FF"/>
      <name val="Arial"/>
      <family val="2"/>
    </font>
    <font>
      <b/>
      <sz val="11"/>
      <color rgb="FF0000FF"/>
      <name val="Arial"/>
      <family val="2"/>
    </font>
    <font>
      <sz val="10"/>
      <color rgb="FF1A7A3A"/>
      <name val="Arial"/>
      <family val="2"/>
    </font>
    <font>
      <sz val="10"/>
      <color rgb="FFB8860B"/>
      <name val="Arial"/>
      <family val="2"/>
    </font>
    <font>
      <sz val="10"/>
      <color rgb="FFCC0000"/>
      <name val="Arial"/>
      <family val="2"/>
    </font>
    <font>
      <i/>
      <sz val="9"/>
      <color rgb="FF666666"/>
      <name val="Arial"/>
      <family val="2"/>
    </font>
    <font>
      <b/>
      <sz val="10"/>
      <color rgb="FF000000"/>
      <name val="Arial"/>
      <family val="2"/>
    </font>
    <font>
      <b/>
      <sz val="11"/>
      <color rgb="FF2D3E5F"/>
      <name val="Arial"/>
      <family val="2"/>
    </font>
    <font>
      <b/>
      <sz val="11"/>
      <color rgb="FFFFFFFF"/>
      <name val="Arial"/>
      <family val="2"/>
    </font>
    <font>
      <b/>
      <sz val="14"/>
      <color rgb="FFFFD700"/>
      <name val="Arial"/>
      <family val="2"/>
    </font>
    <font>
      <b/>
      <sz val="11"/>
      <color rgb="FFFFD700"/>
      <name val="Arial"/>
      <family val="2"/>
    </font>
    <font>
      <b/>
      <sz val="11"/>
      <color rgb="FF1B2A4A"/>
      <name val="Arial"/>
      <family val="2"/>
    </font>
    <font>
      <sz val="9"/>
      <color rgb="FF888888"/>
      <name val="Arial"/>
      <family val="2"/>
    </font>
    <font>
      <b/>
      <sz val="9"/>
      <color rgb="FF888888"/>
      <name val="Arial"/>
      <family val="2"/>
    </font>
    <font>
      <sz val="10"/>
      <color rgb="FF555555"/>
      <name val="Arial"/>
      <family val="2"/>
    </font>
    <font>
      <b/>
      <sz val="10"/>
      <color rgb="FF555555"/>
      <name val="Arial"/>
      <family val="2"/>
    </font>
    <font>
      <sz val="9"/>
      <color rgb="FF2E7D32"/>
      <name val="Arial"/>
      <family val="2"/>
    </font>
    <font>
      <b/>
      <sz val="13"/>
      <color rgb="FFFFFFFF"/>
      <name val="Arial"/>
      <family val="2"/>
    </font>
    <font>
      <b/>
      <sz val="12"/>
      <color rgb="FF1B2A4A"/>
      <name val="Arial"/>
      <family val="2"/>
    </font>
    <font>
      <b/>
      <sz val="16"/>
      <color rgb="FFFFD700"/>
      <name val="Arial"/>
      <family val="2"/>
    </font>
    <font>
      <b/>
      <sz val="12"/>
      <color rgb="FFFFD700"/>
      <name val="Arial"/>
      <family val="2"/>
    </font>
    <font>
      <b/>
      <sz val="12"/>
      <color rgb="FF2D3E5F"/>
      <name val="Arial"/>
      <family val="2"/>
    </font>
    <font>
      <b/>
      <sz val="14"/>
      <color rgb="FF0000FF"/>
      <name val="Arial"/>
      <family val="2"/>
    </font>
    <font>
      <b/>
      <sz val="14"/>
      <color rgb="FF1B2A4A"/>
      <name val="Arial"/>
      <family val="2"/>
    </font>
    <font>
      <b/>
      <sz val="14"/>
      <color rgb="FFCC0000"/>
      <name val="Arial"/>
      <family val="2"/>
    </font>
    <font>
      <sz val="11"/>
      <color rgb="FF555555"/>
      <name val="Arial"/>
      <family val="2"/>
    </font>
    <font>
      <b/>
      <sz val="16"/>
      <color rgb="FFFFFFFF"/>
      <name val="Aptos Narrow"/>
      <family val="2"/>
      <scheme val="minor"/>
    </font>
    <font>
      <i/>
      <sz val="10"/>
      <color rgb="FF8899AA"/>
      <name val="Aptos Narrow"/>
      <family val="2"/>
      <scheme val="minor"/>
    </font>
    <font>
      <i/>
      <sz val="10"/>
      <color rgb="FF888888"/>
      <name val="Arial"/>
      <family val="2"/>
    </font>
    <font>
      <b/>
      <sz val="10"/>
      <color rgb="FFB8860B"/>
      <name val="Arial"/>
      <family val="2"/>
    </font>
    <font>
      <b/>
      <sz val="10"/>
      <color rgb="FF1A7A3A"/>
      <name val="Arial"/>
      <family val="2"/>
    </font>
    <font>
      <i/>
      <sz val="9"/>
      <color rgb="FF666666"/>
      <name val="Aptos Narrow"/>
      <family val="2"/>
      <scheme val="minor"/>
    </font>
    <font>
      <b/>
      <sz val="16"/>
      <color rgb="FFFFFFFF"/>
      <name val="Arial"/>
      <family val="2"/>
    </font>
    <font>
      <i/>
      <sz val="10"/>
      <color rgb="FF8899AA"/>
      <name val="Arial"/>
      <family val="2"/>
    </font>
    <font>
      <sz val="10"/>
      <color rgb="FF333333"/>
      <name val="Arial"/>
      <family val="2"/>
    </font>
    <font>
      <sz val="9"/>
      <color rgb="FF555555"/>
      <name val="Arial"/>
      <family val="2"/>
    </font>
    <font>
      <b/>
      <sz val="12"/>
      <color rgb="FF8B0000"/>
      <name val="Arial"/>
      <family val="2"/>
    </font>
    <font>
      <sz val="10"/>
      <color rgb="FF8B0000"/>
      <name val="Arial"/>
      <family val="2"/>
    </font>
    <font>
      <b/>
      <sz val="10"/>
      <color rgb="FF8B0000"/>
      <name val="Arial"/>
      <family val="2"/>
    </font>
    <font>
      <b/>
      <sz val="12"/>
      <color rgb="FFFFFFFF"/>
      <name val="Arial"/>
      <family val="2"/>
    </font>
    <font>
      <sz val="10"/>
      <color rgb="FF2E7D32"/>
      <name val="Arial"/>
      <family val="2"/>
    </font>
    <font>
      <b/>
      <sz val="10"/>
      <color rgb="FF2E7D32"/>
      <name val="Arial"/>
      <family val="2"/>
    </font>
    <font>
      <sz val="10"/>
      <color rgb="FFCC6600"/>
      <name val="Arial"/>
      <family val="2"/>
    </font>
    <font>
      <b/>
      <sz val="10"/>
      <color rgb="FFCC6600"/>
      <name val="Arial"/>
      <family val="2"/>
    </font>
    <font>
      <b/>
      <sz val="10"/>
      <color rgb="FFCC0000"/>
      <name val="Arial"/>
      <family val="2"/>
    </font>
    <font>
      <b/>
      <sz val="10"/>
      <color rgb="FF1A7A3A"/>
      <name val="Arial"/>
      <family val="2"/>
    </font>
    <font>
      <b/>
      <sz val="10"/>
      <color rgb="FFB8860B"/>
      <name val="Arial"/>
      <family val="2"/>
    </font>
    <font>
      <b/>
      <sz val="16"/>
      <color rgb="FFFFFFFF"/>
      <name val="Arial"/>
      <family val="2"/>
    </font>
    <font>
      <sz val="10"/>
      <color theme="1"/>
      <name val="Arial"/>
      <family val="2"/>
    </font>
    <font>
      <b/>
      <sz val="12"/>
      <color rgb="FF8B0000"/>
      <name val="Arial"/>
      <family val="2"/>
    </font>
    <font>
      <sz val="12"/>
      <color theme="1"/>
      <name val="Arial"/>
      <family val="2"/>
    </font>
    <font>
      <b/>
      <sz val="10"/>
      <color rgb="FFCC0000"/>
      <name val="Arial"/>
      <family val="2"/>
    </font>
    <font>
      <sz val="11"/>
      <color rgb="FF0061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1F4E79"/>
      <name val="Aptos Narrow"/>
      <family val="2"/>
      <scheme val="minor"/>
    </font>
    <font>
      <sz val="10"/>
      <color rgb="FF666666"/>
      <name val="Aptos Narrow"/>
      <family val="2"/>
      <scheme val="minor"/>
    </font>
    <font>
      <b/>
      <sz val="10"/>
      <color rgb="FF006100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11"/>
      <color rgb="FF0061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3"/>
      <color rgb="FF1F4E79"/>
      <name val="Aptos Narrow"/>
      <family val="2"/>
      <scheme val="minor"/>
    </font>
    <font>
      <b/>
      <sz val="11"/>
      <color rgb="FF1F4E79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9"/>
      <color rgb="FF666666"/>
      <name val="Aptos Narrow"/>
      <family val="2"/>
      <scheme val="minor"/>
    </font>
    <font>
      <b/>
      <sz val="10"/>
      <color rgb="FFFFD700"/>
      <name val="Arial"/>
      <family val="2"/>
    </font>
    <font>
      <i/>
      <sz val="9"/>
      <color rgb="FFCC0000"/>
      <name val="Arial"/>
      <family val="2"/>
    </font>
    <font>
      <i/>
      <sz val="9"/>
      <color rgb="FF555555"/>
      <name val="Arial"/>
      <family val="2"/>
    </font>
    <font>
      <i/>
      <sz val="9"/>
      <color rgb="FFB8860B"/>
      <name val="Arial"/>
      <family val="2"/>
    </font>
    <font>
      <i/>
      <sz val="9"/>
      <color rgb="FF1A7A3A"/>
      <name val="Arial"/>
      <family val="2"/>
    </font>
    <font>
      <sz val="11"/>
      <color rgb="FF000000"/>
      <name val="Aptos Narrow"/>
      <family val="2"/>
      <scheme val="minor"/>
    </font>
    <font>
      <sz val="10"/>
      <color rgb="FF2D3E5F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0"/>
      <color rgb="FF8B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CC0000"/>
      <name val="Aptos Narrow"/>
      <family val="2"/>
      <scheme val="minor"/>
    </font>
    <font>
      <sz val="11"/>
      <color rgb="FFB8860B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sz val="11"/>
      <color rgb="FF666666"/>
      <name val="Aptos Narrow"/>
      <family val="2"/>
      <scheme val="minor"/>
    </font>
    <font>
      <b/>
      <sz val="12"/>
      <color rgb="FF1F4E79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1"/>
      <color rgb="FFC07000"/>
      <name val="Aptos Narrow"/>
      <family val="2"/>
      <scheme val="minor"/>
    </font>
    <font>
      <b/>
      <sz val="11"/>
      <color rgb="FF2E75B6"/>
      <name val="Aptos Narrow"/>
      <family val="2"/>
      <scheme val="minor"/>
    </font>
    <font>
      <b/>
      <sz val="9"/>
      <color rgb="FFC00000"/>
      <name val="Aptos Narrow"/>
      <family val="2"/>
      <scheme val="minor"/>
    </font>
    <font>
      <b/>
      <sz val="11"/>
      <color rgb="FFCC6600"/>
      <name val="Aptos Narrow"/>
      <family val="2"/>
      <scheme val="minor"/>
    </font>
    <font>
      <b/>
      <sz val="11"/>
      <color rgb="FF2E7D32"/>
      <name val="Aptos Narrow"/>
      <family val="2"/>
      <scheme val="minor"/>
    </font>
    <font>
      <b/>
      <sz val="11"/>
      <color rgb="FFCC0000"/>
      <name val="Aptos Narrow"/>
      <family val="2"/>
      <scheme val="minor"/>
    </font>
    <font>
      <sz val="9"/>
      <color rgb="FF333333"/>
      <name val="Aptos Narrow"/>
      <family val="2"/>
      <scheme val="minor"/>
    </font>
    <font>
      <b/>
      <sz val="12"/>
      <color rgb="FF1B2A4A"/>
      <name val="Aptos Narrow"/>
      <family val="2"/>
      <scheme val="minor"/>
    </font>
    <font>
      <b/>
      <sz val="10"/>
      <color rgb="FF1B2A4A"/>
      <name val="Aptos Narrow"/>
      <family val="2"/>
      <scheme val="minor"/>
    </font>
    <font>
      <sz val="10"/>
      <color rgb="FFCC0000"/>
      <name val="Aptos Narrow"/>
      <family val="2"/>
      <scheme val="minor"/>
    </font>
    <font>
      <sz val="10"/>
      <color rgb="FF2E7D32"/>
      <name val="Aptos Narrow"/>
      <family val="2"/>
      <scheme val="minor"/>
    </font>
    <font>
      <sz val="10"/>
      <color rgb="FFCC6600"/>
      <name val="Aptos Narrow"/>
      <family val="2"/>
      <scheme val="minor"/>
    </font>
    <font>
      <sz val="11"/>
      <color rgb="FF999999"/>
      <name val="Aptos Narrow"/>
      <family val="2"/>
      <scheme val="minor"/>
    </font>
    <font>
      <sz val="9"/>
      <color rgb="FF999999"/>
      <name val="Aptos Narrow"/>
      <family val="2"/>
      <scheme val="minor"/>
    </font>
    <font>
      <sz val="10"/>
      <color rgb="FFB8860B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b/>
      <sz val="11"/>
      <color rgb="FF999999"/>
      <name val="Aptos Narrow"/>
      <family val="2"/>
      <scheme val="minor"/>
    </font>
    <font>
      <b/>
      <sz val="12"/>
      <color rgb="FF006100"/>
      <name val="Aptos Narrow"/>
      <family val="2"/>
      <scheme val="minor"/>
    </font>
    <font>
      <b/>
      <sz val="10"/>
      <color rgb="FFB8860B"/>
      <name val="Aptos Narrow"/>
      <family val="2"/>
      <scheme val="minor"/>
    </font>
    <font>
      <b/>
      <sz val="11"/>
      <color rgb="FFB8860B"/>
      <name val="Aptos Narrow"/>
      <family val="2"/>
      <scheme val="minor"/>
    </font>
    <font>
      <sz val="9"/>
      <color rgb="FFB8860B"/>
      <name val="Aptos Narrow"/>
      <family val="2"/>
      <scheme val="minor"/>
    </font>
    <font>
      <b/>
      <sz val="9"/>
      <color rgb="FFB8860B"/>
      <name val="Aptos Narrow"/>
      <family val="2"/>
      <scheme val="minor"/>
    </font>
    <font>
      <b/>
      <sz val="10"/>
      <color rgb="FF2D3E5F"/>
      <name val="Aptos Narrow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34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  <fill>
      <patternFill patternType="solid">
        <fgColor rgb="FFF2F4F7"/>
        <bgColor indexed="64"/>
      </patternFill>
    </fill>
    <fill>
      <patternFill patternType="solid">
        <fgColor rgb="FFE8ECF1"/>
        <bgColor indexed="64"/>
      </patternFill>
    </fill>
    <fill>
      <patternFill patternType="solid">
        <fgColor rgb="FF2D3E5F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7F0"/>
        <bgColor indexed="64"/>
      </patternFill>
    </fill>
    <fill>
      <patternFill patternType="solid">
        <fgColor rgb="FF8B0000"/>
        <bgColor indexed="64"/>
      </patternFill>
    </fill>
    <fill>
      <patternFill patternType="solid">
        <fgColor rgb="FFFFF5F5"/>
        <bgColor indexed="64"/>
      </patternFill>
    </fill>
    <fill>
      <patternFill patternType="solid">
        <fgColor rgb="FFFFFBE6"/>
        <bgColor indexed="64"/>
      </patternFill>
    </fill>
    <fill>
      <patternFill patternType="solid">
        <fgColor rgb="FFE8F0FE"/>
        <bgColor indexed="64"/>
      </patternFill>
    </fill>
    <fill>
      <patternFill patternType="solid">
        <fgColor rgb="FF0D1B2A"/>
        <bgColor indexed="64"/>
      </patternFill>
    </fill>
    <fill>
      <patternFill patternType="solid">
        <fgColor rgb="FFFFF0F0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2E5090"/>
        <bgColor indexed="64"/>
      </patternFill>
    </fill>
    <fill>
      <patternFill patternType="solid">
        <fgColor rgb="FF1A7A3A"/>
        <bgColor indexed="64"/>
      </patternFill>
    </fill>
    <fill>
      <patternFill patternType="solid">
        <fgColor rgb="FF4A6FA5"/>
        <bgColor indexed="64"/>
      </patternFill>
    </fill>
    <fill>
      <patternFill patternType="solid">
        <fgColor rgb="FF6B8FBF"/>
        <bgColor indexed="64"/>
      </patternFill>
    </fill>
    <fill>
      <patternFill patternType="solid">
        <fgColor rgb="FF555555"/>
        <bgColor indexed="64"/>
      </patternFill>
    </fill>
    <fill>
      <patternFill patternType="solid">
        <fgColor rgb="FFFFE0E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FFF0E0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2E7D32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4A5A7A"/>
      </right>
      <top/>
      <bottom style="medium">
        <color auto="1"/>
      </bottom>
      <diagonal/>
    </border>
    <border>
      <left style="thin">
        <color rgb="FF4A5A7A"/>
      </left>
      <right style="thin">
        <color rgb="FF4A5A7A"/>
      </right>
      <top/>
      <bottom style="medium">
        <color auto="1"/>
      </bottom>
      <diagonal/>
    </border>
    <border>
      <left style="thin">
        <color rgb="FF4A5A7A"/>
      </left>
      <right/>
      <top/>
      <bottom style="medium">
        <color auto="1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482">
    <xf numFmtId="0" fontId="0" fillId="0" borderId="0" xfId="0"/>
    <xf numFmtId="0" fontId="0" fillId="4" borderId="0" xfId="0" applyFill="1"/>
    <xf numFmtId="0" fontId="6" fillId="4" borderId="0" xfId="0" applyFont="1" applyFill="1" applyAlignment="1">
      <alignment horizontal="right"/>
    </xf>
    <xf numFmtId="0" fontId="7" fillId="5" borderId="0" xfId="0" applyFont="1" applyFill="1" applyAlignment="1">
      <alignment horizontal="center"/>
    </xf>
    <xf numFmtId="0" fontId="7" fillId="5" borderId="0" xfId="0" applyFont="1" applyFill="1" applyAlignment="1">
      <alignment horizontal="left"/>
    </xf>
    <xf numFmtId="0" fontId="8" fillId="6" borderId="0" xfId="0" applyFont="1" applyFill="1" applyAlignment="1">
      <alignment horizontal="center"/>
    </xf>
    <xf numFmtId="0" fontId="9" fillId="6" borderId="0" xfId="0" applyFont="1" applyFill="1"/>
    <xf numFmtId="2" fontId="10" fillId="6" borderId="0" xfId="0" applyNumberFormat="1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12" fillId="6" borderId="0" xfId="0" applyFont="1" applyFill="1" applyAlignment="1">
      <alignment horizontal="center"/>
    </xf>
    <xf numFmtId="0" fontId="13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1" fontId="17" fillId="6" borderId="0" xfId="0" applyNumberFormat="1" applyFont="1" applyFill="1" applyAlignment="1">
      <alignment horizontal="center"/>
    </xf>
    <xf numFmtId="9" fontId="8" fillId="6" borderId="0" xfId="0" applyNumberFormat="1" applyFont="1" applyFill="1" applyAlignment="1">
      <alignment horizontal="center"/>
    </xf>
    <xf numFmtId="164" fontId="9" fillId="6" borderId="0" xfId="0" applyNumberFormat="1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9" fillId="7" borderId="0" xfId="0" applyFont="1" applyFill="1"/>
    <xf numFmtId="1" fontId="10" fillId="7" borderId="0" xfId="0" applyNumberFormat="1" applyFont="1" applyFill="1" applyAlignment="1">
      <alignment horizontal="center"/>
    </xf>
    <xf numFmtId="0" fontId="11" fillId="7" borderId="0" xfId="0" applyFont="1" applyFill="1" applyAlignment="1">
      <alignment horizontal="center"/>
    </xf>
    <xf numFmtId="0" fontId="12" fillId="7" borderId="0" xfId="0" applyFont="1" applyFill="1" applyAlignment="1">
      <alignment horizontal="center"/>
    </xf>
    <xf numFmtId="0" fontId="13" fillId="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6" fillId="7" borderId="0" xfId="0" applyFont="1" applyFill="1" applyAlignment="1">
      <alignment horizontal="center"/>
    </xf>
    <xf numFmtId="1" fontId="17" fillId="7" borderId="0" xfId="0" applyNumberFormat="1" applyFont="1" applyFill="1" applyAlignment="1">
      <alignment horizontal="center"/>
    </xf>
    <xf numFmtId="9" fontId="8" fillId="7" borderId="0" xfId="0" applyNumberFormat="1" applyFont="1" applyFill="1" applyAlignment="1">
      <alignment horizontal="center"/>
    </xf>
    <xf numFmtId="0" fontId="9" fillId="7" borderId="0" xfId="0" applyFont="1" applyFill="1" applyAlignment="1">
      <alignment horizontal="center"/>
    </xf>
    <xf numFmtId="164" fontId="9" fillId="7" borderId="0" xfId="0" applyNumberFormat="1" applyFont="1" applyFill="1" applyAlignment="1">
      <alignment horizontal="center"/>
    </xf>
    <xf numFmtId="9" fontId="10" fillId="7" borderId="0" xfId="0" applyNumberFormat="1" applyFont="1" applyFill="1" applyAlignment="1">
      <alignment horizontal="center"/>
    </xf>
    <xf numFmtId="0" fontId="0" fillId="5" borderId="0" xfId="0" applyFill="1"/>
    <xf numFmtId="0" fontId="18" fillId="5" borderId="0" xfId="0" applyFont="1" applyFill="1" applyAlignment="1">
      <alignment horizontal="right"/>
    </xf>
    <xf numFmtId="1" fontId="19" fillId="5" borderId="0" xfId="0" applyNumberFormat="1" applyFont="1" applyFill="1" applyAlignment="1">
      <alignment horizontal="center"/>
    </xf>
    <xf numFmtId="9" fontId="7" fillId="5" borderId="0" xfId="0" applyNumberFormat="1" applyFont="1" applyFill="1" applyAlignment="1">
      <alignment horizontal="center"/>
    </xf>
    <xf numFmtId="164" fontId="20" fillId="5" borderId="0" xfId="0" applyNumberFormat="1" applyFont="1" applyFill="1" applyAlignment="1">
      <alignment horizontal="center"/>
    </xf>
    <xf numFmtId="0" fontId="0" fillId="8" borderId="0" xfId="0" applyFill="1"/>
    <xf numFmtId="0" fontId="21" fillId="8" borderId="0" xfId="0" applyFont="1" applyFill="1" applyAlignment="1">
      <alignment horizontal="right"/>
    </xf>
    <xf numFmtId="0" fontId="28" fillId="8" borderId="0" xfId="0" applyFont="1" applyFill="1" applyAlignment="1">
      <alignment horizontal="right"/>
    </xf>
    <xf numFmtId="0" fontId="7" fillId="9" borderId="0" xfId="0" applyFont="1" applyFill="1" applyAlignment="1">
      <alignment horizontal="center"/>
    </xf>
    <xf numFmtId="0" fontId="32" fillId="10" borderId="0" xfId="0" applyFont="1" applyFill="1"/>
    <xf numFmtId="0" fontId="0" fillId="10" borderId="0" xfId="0" applyFill="1"/>
    <xf numFmtId="2" fontId="9" fillId="10" borderId="0" xfId="0" applyNumberFormat="1" applyFont="1" applyFill="1" applyAlignment="1">
      <alignment horizontal="center"/>
    </xf>
    <xf numFmtId="0" fontId="16" fillId="10" borderId="0" xfId="0" applyFont="1" applyFill="1" applyAlignment="1">
      <alignment horizontal="center"/>
    </xf>
    <xf numFmtId="0" fontId="32" fillId="7" borderId="0" xfId="0" applyFont="1" applyFill="1"/>
    <xf numFmtId="0" fontId="0" fillId="7" borderId="0" xfId="0" applyFill="1"/>
    <xf numFmtId="9" fontId="9" fillId="7" borderId="0" xfId="0" applyNumberFormat="1" applyFont="1" applyFill="1" applyAlignment="1">
      <alignment horizontal="center"/>
    </xf>
    <xf numFmtId="0" fontId="36" fillId="2" borderId="0" xfId="0" applyFont="1" applyFill="1" applyAlignment="1">
      <alignment horizontal="left"/>
    </xf>
    <xf numFmtId="0" fontId="0" fillId="2" borderId="0" xfId="0" applyFill="1"/>
    <xf numFmtId="0" fontId="37" fillId="2" borderId="0" xfId="0" applyFont="1" applyFill="1" applyAlignment="1">
      <alignment horizontal="right"/>
    </xf>
    <xf numFmtId="0" fontId="6" fillId="6" borderId="0" xfId="0" applyFont="1" applyFill="1" applyAlignment="1">
      <alignment horizontal="left"/>
    </xf>
    <xf numFmtId="4" fontId="38" fillId="12" borderId="0" xfId="0" applyNumberFormat="1" applyFont="1" applyFill="1" applyAlignment="1">
      <alignment horizontal="center"/>
    </xf>
    <xf numFmtId="4" fontId="39" fillId="6" borderId="0" xfId="0" applyNumberFormat="1" applyFont="1" applyFill="1" applyAlignment="1">
      <alignment horizontal="center"/>
    </xf>
    <xf numFmtId="165" fontId="39" fillId="6" borderId="0" xfId="0" applyNumberFormat="1" applyFont="1" applyFill="1" applyAlignment="1">
      <alignment horizontal="center"/>
    </xf>
    <xf numFmtId="0" fontId="6" fillId="6" borderId="0" xfId="0" applyFont="1" applyFill="1" applyAlignment="1">
      <alignment horizontal="center"/>
    </xf>
    <xf numFmtId="9" fontId="38" fillId="12" borderId="0" xfId="0" applyNumberFormat="1" applyFont="1" applyFill="1" applyAlignment="1">
      <alignment horizontal="center"/>
    </xf>
    <xf numFmtId="164" fontId="6" fillId="6" borderId="0" xfId="0" applyNumberFormat="1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40" fillId="6" borderId="0" xfId="0" applyFont="1" applyFill="1" applyAlignment="1">
      <alignment horizontal="left"/>
    </xf>
    <xf numFmtId="0" fontId="0" fillId="6" borderId="0" xfId="0" applyFill="1"/>
    <xf numFmtId="0" fontId="6" fillId="7" borderId="0" xfId="0" applyFont="1" applyFill="1" applyAlignment="1">
      <alignment horizontal="left"/>
    </xf>
    <xf numFmtId="0" fontId="39" fillId="7" borderId="0" xfId="0" applyFont="1" applyFill="1" applyAlignment="1">
      <alignment horizontal="center"/>
    </xf>
    <xf numFmtId="4" fontId="39" fillId="7" borderId="0" xfId="0" applyNumberFormat="1" applyFont="1" applyFill="1" applyAlignment="1">
      <alignment horizontal="center"/>
    </xf>
    <xf numFmtId="165" fontId="39" fillId="7" borderId="0" xfId="0" applyNumberFormat="1" applyFont="1" applyFill="1" applyAlignment="1">
      <alignment horizontal="center"/>
    </xf>
    <xf numFmtId="0" fontId="6" fillId="7" borderId="0" xfId="0" applyFont="1" applyFill="1" applyAlignment="1">
      <alignment horizontal="center"/>
    </xf>
    <xf numFmtId="164" fontId="6" fillId="7" borderId="0" xfId="0" applyNumberFormat="1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40" fillId="7" borderId="0" xfId="0" applyFont="1" applyFill="1" applyAlignment="1">
      <alignment horizontal="left"/>
    </xf>
    <xf numFmtId="0" fontId="40" fillId="6" borderId="0" xfId="0" applyFont="1" applyFill="1" applyAlignment="1">
      <alignment horizontal="center"/>
    </xf>
    <xf numFmtId="2" fontId="38" fillId="12" borderId="0" xfId="0" applyNumberFormat="1" applyFont="1" applyFill="1" applyAlignment="1">
      <alignment horizontal="center"/>
    </xf>
    <xf numFmtId="1" fontId="39" fillId="7" borderId="0" xfId="0" applyNumberFormat="1" applyFont="1" applyFill="1" applyAlignment="1">
      <alignment horizontal="center"/>
    </xf>
    <xf numFmtId="1" fontId="39" fillId="6" borderId="0" xfId="0" applyNumberFormat="1" applyFont="1" applyFill="1" applyAlignment="1">
      <alignment horizontal="center"/>
    </xf>
    <xf numFmtId="0" fontId="18" fillId="2" borderId="0" xfId="0" applyFont="1" applyFill="1" applyAlignment="1">
      <alignment horizontal="left"/>
    </xf>
    <xf numFmtId="0" fontId="19" fillId="2" borderId="0" xfId="0" applyFont="1" applyFill="1" applyAlignment="1">
      <alignment horizontal="center"/>
    </xf>
    <xf numFmtId="164" fontId="20" fillId="2" borderId="0" xfId="0" applyNumberFormat="1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0" fontId="41" fillId="2" borderId="0" xfId="0" applyFont="1" applyFill="1" applyAlignment="1">
      <alignment horizontal="left"/>
    </xf>
    <xf numFmtId="0" fontId="27" fillId="4" borderId="0" xfId="0" applyFont="1" applyFill="1" applyAlignment="1">
      <alignment horizontal="left"/>
    </xf>
    <xf numFmtId="0" fontId="28" fillId="7" borderId="0" xfId="0" applyFont="1" applyFill="1" applyAlignment="1">
      <alignment horizontal="right"/>
    </xf>
    <xf numFmtId="0" fontId="4" fillId="10" borderId="0" xfId="0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44" fillId="7" borderId="0" xfId="0" applyFont="1" applyFill="1" applyAlignment="1">
      <alignment horizontal="right"/>
    </xf>
    <xf numFmtId="0" fontId="42" fillId="7" borderId="0" xfId="0" applyFont="1" applyFill="1" applyAlignment="1">
      <alignment horizontal="center"/>
    </xf>
    <xf numFmtId="0" fontId="45" fillId="7" borderId="0" xfId="0" applyFont="1" applyFill="1" applyAlignment="1">
      <alignment horizontal="center"/>
    </xf>
    <xf numFmtId="0" fontId="46" fillId="7" borderId="0" xfId="0" applyFont="1" applyFill="1" applyAlignment="1">
      <alignment horizontal="center"/>
    </xf>
    <xf numFmtId="0" fontId="0" fillId="13" borderId="0" xfId="0" applyFill="1"/>
    <xf numFmtId="0" fontId="18" fillId="5" borderId="0" xfId="0" applyFont="1" applyFill="1" applyAlignment="1">
      <alignment horizontal="center"/>
    </xf>
    <xf numFmtId="0" fontId="28" fillId="6" borderId="0" xfId="0" applyFont="1" applyFill="1" applyAlignment="1">
      <alignment horizontal="left"/>
    </xf>
    <xf numFmtId="0" fontId="27" fillId="6" borderId="0" xfId="0" applyFont="1" applyFill="1" applyAlignment="1">
      <alignment horizontal="center"/>
    </xf>
    <xf numFmtId="164" fontId="28" fillId="6" borderId="0" xfId="0" applyNumberFormat="1" applyFont="1" applyFill="1" applyAlignment="1">
      <alignment horizontal="center"/>
    </xf>
    <xf numFmtId="0" fontId="28" fillId="7" borderId="0" xfId="0" applyFont="1" applyFill="1" applyAlignment="1">
      <alignment horizontal="left"/>
    </xf>
    <xf numFmtId="0" fontId="27" fillId="7" borderId="0" xfId="0" applyFont="1" applyFill="1" applyAlignment="1">
      <alignment horizontal="center"/>
    </xf>
    <xf numFmtId="164" fontId="28" fillId="7" borderId="0" xfId="0" applyNumberFormat="1" applyFont="1" applyFill="1" applyAlignment="1">
      <alignment horizontal="center"/>
    </xf>
    <xf numFmtId="0" fontId="47" fillId="13" borderId="0" xfId="0" applyFont="1" applyFill="1" applyAlignment="1">
      <alignment horizontal="left"/>
    </xf>
    <xf numFmtId="0" fontId="48" fillId="13" borderId="0" xfId="0" applyFont="1" applyFill="1" applyAlignment="1">
      <alignment horizontal="left"/>
    </xf>
    <xf numFmtId="0" fontId="28" fillId="11" borderId="0" xfId="0" applyFont="1" applyFill="1" applyAlignment="1">
      <alignment horizontal="right"/>
    </xf>
    <xf numFmtId="0" fontId="0" fillId="11" borderId="0" xfId="0" applyFill="1"/>
    <xf numFmtId="0" fontId="49" fillId="9" borderId="0" xfId="0" applyFont="1" applyFill="1" applyAlignment="1">
      <alignment horizontal="center"/>
    </xf>
    <xf numFmtId="0" fontId="32" fillId="14" borderId="0" xfId="0" applyFont="1" applyFill="1" applyAlignment="1">
      <alignment horizontal="left"/>
    </xf>
    <xf numFmtId="0" fontId="32" fillId="14" borderId="0" xfId="0" applyFont="1" applyFill="1" applyAlignment="1">
      <alignment horizontal="right"/>
    </xf>
    <xf numFmtId="0" fontId="50" fillId="4" borderId="0" xfId="0" applyFont="1" applyFill="1" applyAlignment="1">
      <alignment horizontal="left"/>
    </xf>
    <xf numFmtId="0" fontId="52" fillId="4" borderId="0" xfId="0" applyFont="1" applyFill="1" applyAlignment="1">
      <alignment horizontal="right"/>
    </xf>
    <xf numFmtId="0" fontId="54" fillId="5" borderId="0" xfId="0" applyFont="1" applyFill="1" applyAlignment="1">
      <alignment horizontal="center"/>
    </xf>
    <xf numFmtId="0" fontId="54" fillId="5" borderId="0" xfId="0" applyFont="1" applyFill="1" applyAlignment="1">
      <alignment horizontal="left"/>
    </xf>
    <xf numFmtId="0" fontId="55" fillId="6" borderId="0" xfId="0" applyFont="1" applyFill="1" applyAlignment="1">
      <alignment horizontal="center"/>
    </xf>
    <xf numFmtId="0" fontId="56" fillId="6" borderId="0" xfId="0" applyFont="1" applyFill="1"/>
    <xf numFmtId="166" fontId="58" fillId="6" borderId="0" xfId="0" applyNumberFormat="1" applyFont="1" applyFill="1" applyAlignment="1">
      <alignment horizontal="center"/>
    </xf>
    <xf numFmtId="0" fontId="59" fillId="6" borderId="0" xfId="0" applyFont="1" applyFill="1" applyAlignment="1">
      <alignment horizontal="center"/>
    </xf>
    <xf numFmtId="0" fontId="60" fillId="6" borderId="0" xfId="0" applyFont="1" applyFill="1" applyAlignment="1">
      <alignment horizontal="center"/>
    </xf>
    <xf numFmtId="0" fontId="61" fillId="6" borderId="0" xfId="0" applyFont="1" applyFill="1" applyAlignment="1">
      <alignment horizontal="center"/>
    </xf>
    <xf numFmtId="0" fontId="62" fillId="6" borderId="0" xfId="0" applyFont="1" applyFill="1" applyAlignment="1">
      <alignment horizontal="center"/>
    </xf>
    <xf numFmtId="0" fontId="63" fillId="6" borderId="0" xfId="0" applyFont="1" applyFill="1" applyAlignment="1">
      <alignment horizontal="center"/>
    </xf>
    <xf numFmtId="0" fontId="64" fillId="6" borderId="0" xfId="0" applyFont="1" applyFill="1" applyAlignment="1">
      <alignment horizontal="center"/>
    </xf>
    <xf numFmtId="0" fontId="56" fillId="6" borderId="0" xfId="0" applyFont="1" applyFill="1" applyAlignment="1">
      <alignment horizontal="center"/>
    </xf>
    <xf numFmtId="0" fontId="55" fillId="7" borderId="0" xfId="0" applyFont="1" applyFill="1" applyAlignment="1">
      <alignment horizontal="center"/>
    </xf>
    <xf numFmtId="0" fontId="56" fillId="7" borderId="0" xfId="0" applyFont="1" applyFill="1"/>
    <xf numFmtId="2" fontId="58" fillId="7" borderId="0" xfId="0" applyNumberFormat="1" applyFont="1" applyFill="1" applyAlignment="1">
      <alignment horizontal="center"/>
    </xf>
    <xf numFmtId="0" fontId="59" fillId="7" borderId="0" xfId="0" applyFont="1" applyFill="1" applyAlignment="1">
      <alignment horizontal="center"/>
    </xf>
    <xf numFmtId="0" fontId="60" fillId="7" borderId="0" xfId="0" applyFont="1" applyFill="1" applyAlignment="1">
      <alignment horizontal="center"/>
    </xf>
    <xf numFmtId="0" fontId="61" fillId="7" borderId="0" xfId="0" applyFont="1" applyFill="1" applyAlignment="1">
      <alignment horizontal="center"/>
    </xf>
    <xf numFmtId="0" fontId="62" fillId="7" borderId="0" xfId="0" applyFont="1" applyFill="1" applyAlignment="1">
      <alignment horizontal="center"/>
    </xf>
    <xf numFmtId="0" fontId="63" fillId="7" borderId="0" xfId="0" applyFont="1" applyFill="1" applyAlignment="1">
      <alignment horizontal="center"/>
    </xf>
    <xf numFmtId="0" fontId="64" fillId="7" borderId="0" xfId="0" applyFont="1" applyFill="1" applyAlignment="1">
      <alignment horizontal="center"/>
    </xf>
    <xf numFmtId="0" fontId="56" fillId="7" borderId="0" xfId="0" applyFont="1" applyFill="1" applyAlignment="1">
      <alignment horizontal="center"/>
    </xf>
    <xf numFmtId="3" fontId="58" fillId="6" borderId="0" xfId="0" applyNumberFormat="1" applyFont="1" applyFill="1" applyAlignment="1">
      <alignment horizontal="center"/>
    </xf>
    <xf numFmtId="3" fontId="58" fillId="7" borderId="0" xfId="0" applyNumberFormat="1" applyFont="1" applyFill="1" applyAlignment="1">
      <alignment horizontal="center"/>
    </xf>
    <xf numFmtId="167" fontId="58" fillId="7" borderId="0" xfId="0" applyNumberFormat="1" applyFont="1" applyFill="1" applyAlignment="1">
      <alignment horizontal="center"/>
    </xf>
    <xf numFmtId="0" fontId="65" fillId="5" borderId="0" xfId="0" applyFont="1" applyFill="1" applyAlignment="1">
      <alignment horizontal="right"/>
    </xf>
    <xf numFmtId="0" fontId="66" fillId="5" borderId="0" xfId="0" applyFont="1" applyFill="1" applyAlignment="1">
      <alignment horizontal="center"/>
    </xf>
    <xf numFmtId="0" fontId="53" fillId="5" borderId="0" xfId="0" applyFont="1" applyFill="1" applyAlignment="1">
      <alignment horizontal="center"/>
    </xf>
    <xf numFmtId="0" fontId="67" fillId="5" borderId="0" xfId="0" applyFont="1" applyFill="1" applyAlignment="1">
      <alignment horizontal="center"/>
    </xf>
    <xf numFmtId="0" fontId="68" fillId="7" borderId="0" xfId="0" applyFont="1" applyFill="1" applyAlignment="1">
      <alignment horizontal="right"/>
    </xf>
    <xf numFmtId="0" fontId="50" fillId="15" borderId="0" xfId="0" applyFont="1" applyFill="1" applyAlignment="1">
      <alignment horizontal="center"/>
    </xf>
    <xf numFmtId="0" fontId="0" fillId="15" borderId="0" xfId="0" applyFill="1"/>
    <xf numFmtId="0" fontId="70" fillId="7" borderId="0" xfId="0" applyFont="1" applyFill="1" applyAlignment="1">
      <alignment horizontal="center"/>
    </xf>
    <xf numFmtId="0" fontId="72" fillId="7" borderId="0" xfId="0" applyFont="1" applyFill="1" applyAlignment="1">
      <alignment horizontal="right"/>
    </xf>
    <xf numFmtId="0" fontId="71" fillId="7" borderId="0" xfId="0" applyFont="1" applyFill="1" applyAlignment="1">
      <alignment horizontal="center"/>
    </xf>
    <xf numFmtId="0" fontId="69" fillId="7" borderId="0" xfId="0" applyFont="1" applyFill="1" applyAlignment="1">
      <alignment horizontal="center"/>
    </xf>
    <xf numFmtId="0" fontId="73" fillId="7" borderId="0" xfId="0" applyFont="1" applyFill="1" applyAlignment="1">
      <alignment horizontal="center"/>
    </xf>
    <xf numFmtId="0" fontId="74" fillId="13" borderId="0" xfId="0" applyFont="1" applyFill="1" applyAlignment="1">
      <alignment horizontal="left"/>
    </xf>
    <xf numFmtId="0" fontId="68" fillId="6" borderId="0" xfId="0" applyFont="1" applyFill="1" applyAlignment="1">
      <alignment horizontal="left"/>
    </xf>
    <xf numFmtId="0" fontId="75" fillId="6" borderId="0" xfId="0" applyFont="1" applyFill="1" applyAlignment="1">
      <alignment horizontal="center"/>
    </xf>
    <xf numFmtId="9" fontId="57" fillId="12" borderId="0" xfId="0" applyNumberFormat="1" applyFont="1" applyFill="1" applyAlignment="1">
      <alignment horizontal="center"/>
    </xf>
    <xf numFmtId="164" fontId="68" fillId="6" borderId="0" xfId="0" applyNumberFormat="1" applyFont="1" applyFill="1" applyAlignment="1">
      <alignment horizontal="center"/>
    </xf>
    <xf numFmtId="0" fontId="51" fillId="6" borderId="0" xfId="0" applyFont="1" applyFill="1" applyAlignment="1">
      <alignment horizontal="center"/>
    </xf>
    <xf numFmtId="0" fontId="76" fillId="13" borderId="0" xfId="0" applyFont="1" applyFill="1" applyAlignment="1">
      <alignment horizontal="center"/>
    </xf>
    <xf numFmtId="164" fontId="77" fillId="13" borderId="0" xfId="0" applyNumberFormat="1" applyFont="1" applyFill="1" applyAlignment="1">
      <alignment horizontal="center"/>
    </xf>
    <xf numFmtId="0" fontId="58" fillId="12" borderId="0" xfId="0" applyFont="1" applyFill="1" applyAlignment="1">
      <alignment horizontal="center"/>
    </xf>
    <xf numFmtId="0" fontId="52" fillId="6" borderId="0" xfId="0" applyFont="1" applyFill="1" applyAlignment="1">
      <alignment horizontal="center"/>
    </xf>
    <xf numFmtId="0" fontId="52" fillId="7" borderId="0" xfId="0" applyFont="1" applyFill="1" applyAlignment="1">
      <alignment horizontal="center"/>
    </xf>
    <xf numFmtId="0" fontId="78" fillId="8" borderId="0" xfId="0" applyFont="1" applyFill="1" applyAlignment="1">
      <alignment horizontal="right"/>
    </xf>
    <xf numFmtId="0" fontId="79" fillId="12" borderId="0" xfId="0" applyFont="1" applyFill="1" applyAlignment="1">
      <alignment horizontal="center"/>
    </xf>
    <xf numFmtId="0" fontId="75" fillId="8" borderId="0" xfId="0" applyFont="1" applyFill="1" applyAlignment="1">
      <alignment horizontal="left"/>
    </xf>
    <xf numFmtId="0" fontId="71" fillId="8" borderId="0" xfId="0" applyFont="1" applyFill="1" applyAlignment="1">
      <alignment horizontal="left"/>
    </xf>
    <xf numFmtId="0" fontId="56" fillId="8" borderId="0" xfId="0" applyFont="1" applyFill="1" applyAlignment="1">
      <alignment horizontal="right"/>
    </xf>
    <xf numFmtId="0" fontId="64" fillId="6" borderId="0" xfId="0" applyFont="1" applyFill="1" applyAlignment="1">
      <alignment horizontal="right"/>
    </xf>
    <xf numFmtId="0" fontId="80" fillId="6" borderId="0" xfId="0" applyFont="1" applyFill="1" applyAlignment="1">
      <alignment horizontal="center"/>
    </xf>
    <xf numFmtId="0" fontId="81" fillId="6" borderId="0" xfId="0" applyFont="1" applyFill="1" applyAlignment="1">
      <alignment horizontal="center"/>
    </xf>
    <xf numFmtId="0" fontId="78" fillId="7" borderId="0" xfId="0" applyFont="1" applyFill="1" applyAlignment="1">
      <alignment horizontal="right"/>
    </xf>
    <xf numFmtId="0" fontId="80" fillId="7" borderId="0" xfId="0" applyFont="1" applyFill="1" applyAlignment="1">
      <alignment horizontal="left"/>
    </xf>
    <xf numFmtId="0" fontId="64" fillId="7" borderId="0" xfId="0" applyFont="1" applyFill="1" applyAlignment="1">
      <alignment horizontal="right"/>
    </xf>
    <xf numFmtId="0" fontId="82" fillId="7" borderId="0" xfId="0" applyFont="1" applyFill="1" applyAlignment="1">
      <alignment horizontal="left"/>
    </xf>
    <xf numFmtId="0" fontId="64" fillId="11" borderId="0" xfId="0" applyFont="1" applyFill="1" applyAlignment="1">
      <alignment horizontal="right"/>
    </xf>
    <xf numFmtId="0" fontId="68" fillId="11" borderId="0" xfId="0" applyFont="1" applyFill="1" applyAlignment="1">
      <alignment horizontal="left"/>
    </xf>
    <xf numFmtId="0" fontId="29" fillId="8" borderId="0" xfId="0" applyFont="1" applyFill="1"/>
    <xf numFmtId="0" fontId="51" fillId="7" borderId="0" xfId="0" applyFont="1" applyFill="1" applyAlignment="1">
      <alignment horizontal="center"/>
    </xf>
    <xf numFmtId="0" fontId="84" fillId="3" borderId="0" xfId="0" applyFont="1" applyFill="1"/>
    <xf numFmtId="0" fontId="54" fillId="5" borderId="1" xfId="0" applyFont="1" applyFill="1" applyBorder="1" applyAlignment="1">
      <alignment horizontal="center"/>
    </xf>
    <xf numFmtId="0" fontId="54" fillId="5" borderId="2" xfId="0" applyFont="1" applyFill="1" applyBorder="1" applyAlignment="1">
      <alignment horizontal="center"/>
    </xf>
    <xf numFmtId="0" fontId="88" fillId="11" borderId="0" xfId="0" applyFont="1" applyFill="1"/>
    <xf numFmtId="168" fontId="55" fillId="6" borderId="4" xfId="0" applyNumberFormat="1" applyFont="1" applyFill="1" applyBorder="1" applyAlignment="1">
      <alignment horizontal="center"/>
    </xf>
    <xf numFmtId="0" fontId="55" fillId="6" borderId="4" xfId="0" applyFont="1" applyFill="1" applyBorder="1" applyAlignment="1">
      <alignment horizontal="center"/>
    </xf>
    <xf numFmtId="166" fontId="55" fillId="6" borderId="4" xfId="0" applyNumberFormat="1" applyFont="1" applyFill="1" applyBorder="1" applyAlignment="1">
      <alignment horizontal="center"/>
    </xf>
    <xf numFmtId="0" fontId="55" fillId="6" borderId="4" xfId="0" applyFont="1" applyFill="1" applyBorder="1" applyAlignment="1">
      <alignment horizontal="left"/>
    </xf>
    <xf numFmtId="0" fontId="85" fillId="6" borderId="4" xfId="0" applyFont="1" applyFill="1" applyBorder="1" applyAlignment="1">
      <alignment horizontal="left"/>
    </xf>
    <xf numFmtId="0" fontId="54" fillId="16" borderId="2" xfId="0" applyFont="1" applyFill="1" applyBorder="1" applyAlignment="1">
      <alignment horizontal="center"/>
    </xf>
    <xf numFmtId="0" fontId="54" fillId="17" borderId="2" xfId="0" applyFont="1" applyFill="1" applyBorder="1" applyAlignment="1">
      <alignment horizontal="center"/>
    </xf>
    <xf numFmtId="0" fontId="54" fillId="18" borderId="2" xfId="0" applyFont="1" applyFill="1" applyBorder="1" applyAlignment="1">
      <alignment horizontal="center"/>
    </xf>
    <xf numFmtId="0" fontId="54" fillId="19" borderId="2" xfId="0" applyFont="1" applyFill="1" applyBorder="1" applyAlignment="1">
      <alignment horizontal="center"/>
    </xf>
    <xf numFmtId="0" fontId="54" fillId="13" borderId="2" xfId="0" applyFont="1" applyFill="1" applyBorder="1" applyAlignment="1">
      <alignment horizontal="center"/>
    </xf>
    <xf numFmtId="0" fontId="54" fillId="20" borderId="3" xfId="0" applyFont="1" applyFill="1" applyBorder="1" applyAlignment="1">
      <alignment horizontal="center"/>
    </xf>
    <xf numFmtId="168" fontId="0" fillId="0" borderId="0" xfId="0" applyNumberFormat="1"/>
    <xf numFmtId="2" fontId="55" fillId="6" borderId="4" xfId="0" applyNumberFormat="1" applyFont="1" applyFill="1" applyBorder="1" applyAlignment="1">
      <alignment horizontal="center"/>
    </xf>
    <xf numFmtId="2" fontId="0" fillId="0" borderId="0" xfId="0" applyNumberFormat="1"/>
    <xf numFmtId="1" fontId="55" fillId="6" borderId="4" xfId="0" applyNumberFormat="1" applyFont="1" applyFill="1" applyBorder="1" applyAlignment="1">
      <alignment horizontal="center"/>
    </xf>
    <xf numFmtId="1" fontId="0" fillId="0" borderId="0" xfId="0" applyNumberFormat="1"/>
    <xf numFmtId="166" fontId="0" fillId="0" borderId="0" xfId="0" applyNumberFormat="1"/>
    <xf numFmtId="1" fontId="56" fillId="6" borderId="4" xfId="0" applyNumberFormat="1" applyFont="1" applyFill="1" applyBorder="1" applyAlignment="1">
      <alignment horizontal="center"/>
    </xf>
    <xf numFmtId="4" fontId="55" fillId="6" borderId="4" xfId="0" applyNumberFormat="1" applyFont="1" applyFill="1" applyBorder="1" applyAlignment="1">
      <alignment horizontal="center"/>
    </xf>
    <xf numFmtId="4" fontId="0" fillId="0" borderId="0" xfId="0" applyNumberFormat="1"/>
    <xf numFmtId="164" fontId="55" fillId="6" borderId="4" xfId="0" applyNumberFormat="1" applyFont="1" applyFill="1" applyBorder="1" applyAlignment="1">
      <alignment horizontal="center"/>
    </xf>
    <xf numFmtId="164" fontId="0" fillId="0" borderId="0" xfId="0" applyNumberFormat="1"/>
    <xf numFmtId="169" fontId="55" fillId="6" borderId="4" xfId="0" applyNumberFormat="1" applyFont="1" applyFill="1" applyBorder="1" applyAlignment="1">
      <alignment horizontal="center"/>
    </xf>
    <xf numFmtId="169" fontId="0" fillId="0" borderId="0" xfId="0" applyNumberFormat="1"/>
    <xf numFmtId="1" fontId="64" fillId="6" borderId="4" xfId="0" applyNumberFormat="1" applyFont="1" applyFill="1" applyBorder="1" applyAlignment="1">
      <alignment horizontal="center"/>
    </xf>
    <xf numFmtId="0" fontId="89" fillId="2" borderId="0" xfId="0" applyFont="1" applyFill="1"/>
    <xf numFmtId="0" fontId="90" fillId="3" borderId="0" xfId="0" applyFont="1" applyFill="1"/>
    <xf numFmtId="0" fontId="0" fillId="0" borderId="0" xfId="0" applyAlignment="1">
      <alignment wrapText="1"/>
    </xf>
    <xf numFmtId="0" fontId="75" fillId="4" borderId="0" xfId="0" applyFont="1" applyFill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54" fillId="5" borderId="0" xfId="0" applyFont="1" applyFill="1" applyAlignment="1">
      <alignment horizontal="center" vertical="top"/>
    </xf>
    <xf numFmtId="0" fontId="54" fillId="5" borderId="0" xfId="0" applyFont="1" applyFill="1" applyAlignment="1">
      <alignment horizontal="left" vertical="top"/>
    </xf>
    <xf numFmtId="0" fontId="54" fillId="5" borderId="0" xfId="0" applyFont="1" applyFill="1" applyAlignment="1">
      <alignment horizontal="left" vertical="top" wrapText="1"/>
    </xf>
    <xf numFmtId="0" fontId="55" fillId="6" borderId="0" xfId="0" applyFont="1" applyFill="1" applyAlignment="1">
      <alignment horizontal="center" vertical="top"/>
    </xf>
    <xf numFmtId="0" fontId="52" fillId="6" borderId="0" xfId="0" applyFont="1" applyFill="1" applyAlignment="1">
      <alignment vertical="top"/>
    </xf>
    <xf numFmtId="0" fontId="91" fillId="6" borderId="0" xfId="0" applyFont="1" applyFill="1" applyAlignment="1">
      <alignment vertical="top" wrapText="1"/>
    </xf>
    <xf numFmtId="0" fontId="92" fillId="6" borderId="0" xfId="0" applyFont="1" applyFill="1" applyAlignment="1">
      <alignment vertical="top" wrapText="1"/>
    </xf>
    <xf numFmtId="9" fontId="56" fillId="6" borderId="0" xfId="0" applyNumberFormat="1" applyFont="1" applyFill="1" applyAlignment="1">
      <alignment horizontal="center" vertical="top"/>
    </xf>
    <xf numFmtId="0" fontId="55" fillId="7" borderId="0" xfId="0" applyFont="1" applyFill="1" applyAlignment="1">
      <alignment horizontal="center" vertical="top"/>
    </xf>
    <xf numFmtId="0" fontId="52" fillId="7" borderId="0" xfId="0" applyFont="1" applyFill="1" applyAlignment="1">
      <alignment vertical="top"/>
    </xf>
    <xf numFmtId="0" fontId="91" fillId="7" borderId="0" xfId="0" applyFont="1" applyFill="1" applyAlignment="1">
      <alignment vertical="top" wrapText="1"/>
    </xf>
    <xf numFmtId="0" fontId="92" fillId="7" borderId="0" xfId="0" applyFont="1" applyFill="1" applyAlignment="1">
      <alignment vertical="top" wrapText="1"/>
    </xf>
    <xf numFmtId="9" fontId="56" fillId="7" borderId="0" xfId="0" applyNumberFormat="1" applyFont="1" applyFill="1" applyAlignment="1">
      <alignment horizontal="center" vertical="top"/>
    </xf>
    <xf numFmtId="0" fontId="54" fillId="18" borderId="0" xfId="0" applyFont="1" applyFill="1" applyAlignment="1">
      <alignment horizontal="center" vertical="top"/>
    </xf>
    <xf numFmtId="0" fontId="54" fillId="18" borderId="0" xfId="0" applyFont="1" applyFill="1" applyAlignment="1">
      <alignment horizontal="left" vertical="top"/>
    </xf>
    <xf numFmtId="0" fontId="54" fillId="18" borderId="0" xfId="0" applyFont="1" applyFill="1" applyAlignment="1">
      <alignment horizontal="left" vertical="top" wrapText="1"/>
    </xf>
    <xf numFmtId="0" fontId="54" fillId="19" borderId="0" xfId="0" applyFont="1" applyFill="1" applyAlignment="1">
      <alignment horizontal="center" vertical="top"/>
    </xf>
    <xf numFmtId="0" fontId="54" fillId="19" borderId="0" xfId="0" applyFont="1" applyFill="1" applyAlignment="1">
      <alignment horizontal="left" vertical="top"/>
    </xf>
    <xf numFmtId="0" fontId="54" fillId="19" borderId="0" xfId="0" applyFont="1" applyFill="1" applyAlignment="1">
      <alignment horizontal="left" vertical="top" wrapText="1"/>
    </xf>
    <xf numFmtId="0" fontId="93" fillId="10" borderId="0" xfId="0" applyFont="1" applyFill="1" applyAlignment="1">
      <alignment vertical="top"/>
    </xf>
    <xf numFmtId="0" fontId="95" fillId="7" borderId="0" xfId="0" applyFont="1" applyFill="1" applyAlignment="1">
      <alignment vertical="top"/>
    </xf>
    <xf numFmtId="0" fontId="54" fillId="9" borderId="0" xfId="0" applyFont="1" applyFill="1" applyAlignment="1">
      <alignment horizontal="center" vertical="top"/>
    </xf>
    <xf numFmtId="0" fontId="54" fillId="9" borderId="0" xfId="0" applyFont="1" applyFill="1" applyAlignment="1">
      <alignment horizontal="left" vertical="top"/>
    </xf>
    <xf numFmtId="0" fontId="54" fillId="9" borderId="0" xfId="0" applyFont="1" applyFill="1" applyAlignment="1">
      <alignment horizontal="left" vertical="top" wrapText="1"/>
    </xf>
    <xf numFmtId="0" fontId="54" fillId="9" borderId="0" xfId="0" applyFont="1" applyFill="1" applyAlignment="1">
      <alignment horizontal="center" vertical="top" wrapText="1"/>
    </xf>
    <xf numFmtId="0" fontId="94" fillId="10" borderId="0" xfId="0" applyFont="1" applyFill="1" applyAlignment="1">
      <alignment horizontal="center" vertical="top"/>
    </xf>
    <xf numFmtId="0" fontId="95" fillId="10" borderId="0" xfId="0" applyFont="1" applyFill="1" applyAlignment="1">
      <alignment vertical="top"/>
    </xf>
    <xf numFmtId="0" fontId="91" fillId="10" borderId="0" xfId="0" applyFont="1" applyFill="1" applyAlignment="1">
      <alignment vertical="top" wrapText="1"/>
    </xf>
    <xf numFmtId="0" fontId="95" fillId="10" borderId="0" xfId="0" applyFont="1" applyFill="1" applyAlignment="1">
      <alignment horizontal="center" vertical="top" wrapText="1"/>
    </xf>
    <xf numFmtId="0" fontId="55" fillId="10" borderId="0" xfId="0" applyFont="1" applyFill="1" applyAlignment="1">
      <alignment vertical="top" wrapText="1"/>
    </xf>
    <xf numFmtId="0" fontId="94" fillId="7" borderId="0" xfId="0" applyFont="1" applyFill="1" applyAlignment="1">
      <alignment horizontal="center" vertical="top"/>
    </xf>
    <xf numFmtId="0" fontId="95" fillId="7" borderId="0" xfId="0" applyFont="1" applyFill="1" applyAlignment="1">
      <alignment horizontal="center" vertical="top" wrapText="1"/>
    </xf>
    <xf numFmtId="0" fontId="55" fillId="7" borderId="0" xfId="0" applyFont="1" applyFill="1" applyAlignment="1">
      <alignment vertical="top" wrapText="1"/>
    </xf>
    <xf numFmtId="0" fontId="96" fillId="13" borderId="0" xfId="0" applyFont="1" applyFill="1" applyAlignment="1">
      <alignment vertical="top"/>
    </xf>
    <xf numFmtId="0" fontId="52" fillId="8" borderId="0" xfId="0" applyFont="1" applyFill="1" applyAlignment="1">
      <alignment vertical="top"/>
    </xf>
    <xf numFmtId="0" fontId="91" fillId="8" borderId="0" xfId="0" applyFont="1" applyFill="1" applyAlignment="1">
      <alignment vertical="top" wrapText="1"/>
    </xf>
    <xf numFmtId="0" fontId="0" fillId="15" borderId="0" xfId="0" applyFill="1" applyAlignment="1">
      <alignment vertical="top"/>
    </xf>
    <xf numFmtId="0" fontId="87" fillId="15" borderId="0" xfId="0" applyFont="1" applyFill="1" applyAlignment="1">
      <alignment vertical="top"/>
    </xf>
    <xf numFmtId="0" fontId="59" fillId="15" borderId="0" xfId="0" applyFont="1" applyFill="1" applyAlignment="1">
      <alignment vertical="top" wrapText="1"/>
    </xf>
    <xf numFmtId="0" fontId="0" fillId="8" borderId="0" xfId="0" applyFill="1" applyAlignment="1">
      <alignment vertical="top"/>
    </xf>
    <xf numFmtId="0" fontId="98" fillId="8" borderId="0" xfId="0" applyFont="1" applyFill="1" applyAlignment="1">
      <alignment vertical="top"/>
    </xf>
    <xf numFmtId="0" fontId="97" fillId="8" borderId="0" xfId="0" applyFont="1" applyFill="1" applyAlignment="1">
      <alignment vertical="top" wrapText="1"/>
    </xf>
    <xf numFmtId="0" fontId="0" fillId="11" borderId="0" xfId="0" applyFill="1" applyAlignment="1">
      <alignment vertical="top"/>
    </xf>
    <xf numFmtId="0" fontId="86" fillId="11" borderId="0" xfId="0" applyFont="1" applyFill="1" applyAlignment="1">
      <alignment vertical="top"/>
    </xf>
    <xf numFmtId="0" fontId="60" fillId="11" borderId="0" xfId="0" applyFont="1" applyFill="1" applyAlignment="1">
      <alignment vertical="top" wrapText="1"/>
    </xf>
    <xf numFmtId="0" fontId="0" fillId="14" borderId="0" xfId="0" applyFill="1" applyAlignment="1">
      <alignment vertical="top"/>
    </xf>
    <xf numFmtId="0" fontId="0" fillId="21" borderId="0" xfId="0" applyFill="1" applyAlignment="1">
      <alignment vertical="top"/>
    </xf>
    <xf numFmtId="0" fontId="101" fillId="21" borderId="0" xfId="0" applyFont="1" applyFill="1" applyAlignment="1">
      <alignment vertical="top"/>
    </xf>
    <xf numFmtId="0" fontId="94" fillId="10" borderId="0" xfId="0" applyFont="1" applyFill="1" applyAlignment="1">
      <alignment vertical="top" wrapText="1"/>
    </xf>
    <xf numFmtId="0" fontId="101" fillId="14" borderId="0" xfId="0" applyFont="1" applyFill="1" applyAlignment="1">
      <alignment vertical="top"/>
    </xf>
    <xf numFmtId="0" fontId="61" fillId="14" borderId="0" xfId="0" applyFont="1" applyFill="1" applyAlignment="1">
      <alignment vertical="top" wrapText="1"/>
    </xf>
    <xf numFmtId="0" fontId="0" fillId="6" borderId="0" xfId="0" applyFill="1" applyAlignment="1">
      <alignment vertical="top"/>
    </xf>
    <xf numFmtId="0" fontId="56" fillId="6" borderId="0" xfId="0" applyFont="1" applyFill="1" applyAlignment="1">
      <alignment vertical="top"/>
    </xf>
    <xf numFmtId="0" fontId="0" fillId="7" borderId="0" xfId="0" applyFill="1" applyAlignment="1">
      <alignment vertical="top"/>
    </xf>
    <xf numFmtId="0" fontId="56" fillId="7" borderId="0" xfId="0" applyFont="1" applyFill="1" applyAlignment="1">
      <alignment vertical="top"/>
    </xf>
    <xf numFmtId="0" fontId="105" fillId="6" borderId="0" xfId="0" applyFont="1" applyFill="1" applyAlignment="1">
      <alignment vertical="top" wrapText="1"/>
    </xf>
    <xf numFmtId="0" fontId="105" fillId="7" borderId="0" xfId="0" applyFont="1" applyFill="1" applyAlignment="1">
      <alignment vertical="top" wrapText="1"/>
    </xf>
    <xf numFmtId="0" fontId="6" fillId="6" borderId="0" xfId="0" applyFont="1" applyFill="1" applyAlignment="1">
      <alignment vertical="top" wrapText="1"/>
    </xf>
    <xf numFmtId="0" fontId="6" fillId="7" borderId="0" xfId="0" applyFont="1" applyFill="1" applyAlignment="1">
      <alignment vertical="top" wrapText="1"/>
    </xf>
    <xf numFmtId="0" fontId="105" fillId="6" borderId="0" xfId="0" applyFont="1" applyFill="1" applyAlignment="1">
      <alignment horizontal="center" vertical="top" wrapText="1"/>
    </xf>
    <xf numFmtId="0" fontId="105" fillId="7" borderId="0" xfId="0" applyFont="1" applyFill="1" applyAlignment="1">
      <alignment horizontal="center" vertical="top" wrapText="1"/>
    </xf>
    <xf numFmtId="0" fontId="7" fillId="18" borderId="0" xfId="0" applyFont="1" applyFill="1" applyAlignment="1">
      <alignment horizontal="center"/>
    </xf>
    <xf numFmtId="0" fontId="7" fillId="19" borderId="0" xfId="0" applyFont="1" applyFill="1" applyAlignment="1">
      <alignment horizontal="center"/>
    </xf>
    <xf numFmtId="0" fontId="7" fillId="20" borderId="0" xfId="0" applyFont="1" applyFill="1" applyAlignment="1">
      <alignment horizontal="center"/>
    </xf>
    <xf numFmtId="0" fontId="39" fillId="6" borderId="0" xfId="0" applyFont="1" applyFill="1" applyAlignment="1">
      <alignment vertical="top" wrapText="1"/>
    </xf>
    <xf numFmtId="0" fontId="39" fillId="7" borderId="0" xfId="0" applyFont="1" applyFill="1" applyAlignment="1">
      <alignment vertical="top" wrapText="1"/>
    </xf>
    <xf numFmtId="0" fontId="44" fillId="6" borderId="0" xfId="0" applyFont="1" applyFill="1" applyAlignment="1">
      <alignment vertical="top" wrapText="1"/>
    </xf>
    <xf numFmtId="0" fontId="44" fillId="7" borderId="0" xfId="0" applyFont="1" applyFill="1" applyAlignment="1">
      <alignment vertical="top" wrapText="1"/>
    </xf>
    <xf numFmtId="0" fontId="39" fillId="6" borderId="0" xfId="0" applyFont="1" applyFill="1" applyAlignment="1">
      <alignment horizontal="center" vertical="top" wrapText="1"/>
    </xf>
    <xf numFmtId="0" fontId="39" fillId="7" borderId="0" xfId="0" applyFont="1" applyFill="1" applyAlignment="1">
      <alignment horizontal="center" vertical="top" wrapText="1"/>
    </xf>
    <xf numFmtId="0" fontId="105" fillId="15" borderId="0" xfId="0" applyFont="1" applyFill="1" applyAlignment="1">
      <alignment horizontal="center"/>
    </xf>
    <xf numFmtId="0" fontId="102" fillId="15" borderId="0" xfId="0" applyFont="1" applyFill="1"/>
    <xf numFmtId="0" fontId="105" fillId="15" borderId="0" xfId="0" applyFont="1" applyFill="1"/>
    <xf numFmtId="0" fontId="105" fillId="11" borderId="0" xfId="0" applyFont="1" applyFill="1" applyAlignment="1">
      <alignment horizontal="center"/>
    </xf>
    <xf numFmtId="0" fontId="103" fillId="11" borderId="0" xfId="0" applyFont="1" applyFill="1"/>
    <xf numFmtId="0" fontId="105" fillId="11" borderId="0" xfId="0" applyFont="1" applyFill="1"/>
    <xf numFmtId="0" fontId="105" fillId="14" borderId="0" xfId="0" applyFont="1" applyFill="1" applyAlignment="1">
      <alignment horizontal="center"/>
    </xf>
    <xf numFmtId="0" fontId="108" fillId="14" borderId="0" xfId="0" applyFont="1" applyFill="1"/>
    <xf numFmtId="0" fontId="105" fillId="14" borderId="0" xfId="0" applyFont="1" applyFill="1"/>
    <xf numFmtId="0" fontId="107" fillId="6" borderId="0" xfId="0" applyFont="1" applyFill="1" applyAlignment="1">
      <alignment horizontal="center" vertical="top" wrapText="1"/>
    </xf>
    <xf numFmtId="0" fontId="107" fillId="7" borderId="0" xfId="0" applyFont="1" applyFill="1" applyAlignment="1">
      <alignment horizontal="center" vertical="top" wrapText="1"/>
    </xf>
    <xf numFmtId="0" fontId="112" fillId="0" borderId="0" xfId="0" applyFont="1"/>
    <xf numFmtId="0" fontId="113" fillId="0" borderId="0" xfId="0" applyFont="1"/>
    <xf numFmtId="0" fontId="109" fillId="0" borderId="0" xfId="0" applyFont="1"/>
    <xf numFmtId="0" fontId="114" fillId="0" borderId="0" xfId="0" applyFont="1"/>
    <xf numFmtId="0" fontId="115" fillId="22" borderId="0" xfId="0" applyFont="1" applyFill="1" applyAlignment="1">
      <alignment horizontal="center"/>
    </xf>
    <xf numFmtId="0" fontId="115" fillId="23" borderId="0" xfId="0" applyFont="1" applyFill="1" applyAlignment="1">
      <alignment horizontal="center"/>
    </xf>
    <xf numFmtId="164" fontId="109" fillId="0" borderId="0" xfId="0" applyNumberFormat="1" applyFont="1"/>
    <xf numFmtId="164" fontId="116" fillId="0" borderId="0" xfId="0" applyNumberFormat="1" applyFont="1"/>
    <xf numFmtId="0" fontId="110" fillId="0" borderId="0" xfId="0" applyFont="1"/>
    <xf numFmtId="2" fontId="110" fillId="0" borderId="0" xfId="0" applyNumberFormat="1" applyFont="1"/>
    <xf numFmtId="164" fontId="110" fillId="0" borderId="0" xfId="0" applyNumberFormat="1" applyFont="1"/>
    <xf numFmtId="164" fontId="117" fillId="0" borderId="0" xfId="0" applyNumberFormat="1" applyFont="1"/>
    <xf numFmtId="0" fontId="118" fillId="0" borderId="0" xfId="0" applyFont="1"/>
    <xf numFmtId="0" fontId="111" fillId="0" borderId="0" xfId="0" applyFont="1"/>
    <xf numFmtId="0" fontId="111" fillId="24" borderId="0" xfId="0" applyFont="1" applyFill="1"/>
    <xf numFmtId="0" fontId="119" fillId="24" borderId="0" xfId="0" applyFont="1" applyFill="1"/>
    <xf numFmtId="0" fontId="120" fillId="0" borderId="0" xfId="0" applyFont="1"/>
    <xf numFmtId="0" fontId="119" fillId="0" borderId="0" xfId="0" applyFont="1"/>
    <xf numFmtId="0" fontId="121" fillId="0" borderId="0" xfId="0" applyFont="1"/>
    <xf numFmtId="0" fontId="7" fillId="19" borderId="2" xfId="0" applyFont="1" applyFill="1" applyBorder="1" applyAlignment="1">
      <alignment horizontal="center"/>
    </xf>
    <xf numFmtId="0" fontId="36" fillId="13" borderId="0" xfId="0" applyFont="1" applyFill="1" applyAlignment="1">
      <alignment horizontal="left"/>
    </xf>
    <xf numFmtId="0" fontId="7" fillId="25" borderId="0" xfId="0" applyFont="1" applyFill="1" applyAlignment="1">
      <alignment horizontal="center"/>
    </xf>
    <xf numFmtId="0" fontId="7" fillId="26" borderId="0" xfId="0" applyFont="1" applyFill="1" applyAlignment="1">
      <alignment horizontal="center"/>
    </xf>
    <xf numFmtId="0" fontId="122" fillId="13" borderId="0" xfId="0" applyFont="1" applyFill="1" applyAlignment="1">
      <alignment horizontal="center"/>
    </xf>
    <xf numFmtId="0" fontId="123" fillId="6" borderId="0" xfId="0" applyFont="1" applyFill="1" applyAlignment="1">
      <alignment horizontal="center"/>
    </xf>
    <xf numFmtId="0" fontId="28" fillId="6" borderId="0" xfId="0" applyFont="1" applyFill="1" applyAlignment="1">
      <alignment horizontal="center"/>
    </xf>
    <xf numFmtId="0" fontId="124" fillId="6" borderId="0" xfId="0" applyFont="1" applyFill="1"/>
    <xf numFmtId="0" fontId="123" fillId="7" borderId="0" xfId="0" applyFont="1" applyFill="1" applyAlignment="1">
      <alignment horizontal="center"/>
    </xf>
    <xf numFmtId="0" fontId="124" fillId="7" borderId="0" xfId="0" applyFont="1" applyFill="1"/>
    <xf numFmtId="0" fontId="125" fillId="6" borderId="0" xfId="0" applyFont="1" applyFill="1" applyAlignment="1">
      <alignment horizontal="center"/>
    </xf>
    <xf numFmtId="0" fontId="125" fillId="7" borderId="0" xfId="0" applyFont="1" applyFill="1" applyAlignment="1">
      <alignment horizontal="center"/>
    </xf>
    <xf numFmtId="0" fontId="124" fillId="6" borderId="0" xfId="0" applyFont="1" applyFill="1" applyAlignment="1">
      <alignment horizontal="center"/>
    </xf>
    <xf numFmtId="0" fontId="126" fillId="6" borderId="0" xfId="0" applyFont="1" applyFill="1" applyAlignment="1">
      <alignment horizontal="center"/>
    </xf>
    <xf numFmtId="0" fontId="126" fillId="7" borderId="0" xfId="0" applyFont="1" applyFill="1" applyAlignment="1">
      <alignment horizontal="center"/>
    </xf>
    <xf numFmtId="0" fontId="28" fillId="4" borderId="0" xfId="0" applyFont="1" applyFill="1"/>
    <xf numFmtId="0" fontId="87" fillId="8" borderId="0" xfId="0" applyFont="1" applyFill="1"/>
    <xf numFmtId="0" fontId="87" fillId="8" borderId="0" xfId="0" applyFont="1" applyFill="1" applyAlignment="1">
      <alignment horizontal="right"/>
    </xf>
    <xf numFmtId="0" fontId="86" fillId="11" borderId="0" xfId="0" applyFont="1" applyFill="1"/>
    <xf numFmtId="0" fontId="86" fillId="11" borderId="0" xfId="0" applyFont="1" applyFill="1" applyAlignment="1">
      <alignment horizontal="right"/>
    </xf>
    <xf numFmtId="0" fontId="101" fillId="10" borderId="0" xfId="0" applyFont="1" applyFill="1"/>
    <xf numFmtId="0" fontId="101" fillId="10" borderId="0" xfId="0" applyFont="1" applyFill="1" applyAlignment="1">
      <alignment horizontal="right"/>
    </xf>
    <xf numFmtId="0" fontId="7" fillId="5" borderId="0" xfId="0" applyFont="1" applyFill="1" applyAlignment="1">
      <alignment horizontal="right"/>
    </xf>
    <xf numFmtId="0" fontId="122" fillId="5" borderId="0" xfId="0" applyFont="1" applyFill="1"/>
    <xf numFmtId="0" fontId="8" fillId="7" borderId="0" xfId="0" applyFont="1" applyFill="1"/>
    <xf numFmtId="170" fontId="0" fillId="0" borderId="0" xfId="0" applyNumberFormat="1"/>
    <xf numFmtId="164" fontId="127" fillId="0" borderId="0" xfId="0" applyNumberFormat="1" applyFont="1"/>
    <xf numFmtId="14" fontId="0" fillId="0" borderId="0" xfId="0" applyNumberFormat="1"/>
    <xf numFmtId="49" fontId="0" fillId="0" borderId="0" xfId="0" applyNumberFormat="1" applyAlignment="1">
      <alignment horizontal="center"/>
    </xf>
    <xf numFmtId="166" fontId="109" fillId="0" borderId="0" xfId="0" applyNumberFormat="1" applyFont="1" applyAlignment="1">
      <alignment horizontal="center"/>
    </xf>
    <xf numFmtId="166" fontId="110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0" fontId="130" fillId="10" borderId="0" xfId="0" applyFont="1" applyFill="1"/>
    <xf numFmtId="0" fontId="128" fillId="10" borderId="0" xfId="0" applyFont="1" applyFill="1"/>
    <xf numFmtId="0" fontId="128" fillId="10" borderId="0" xfId="0" applyFont="1" applyFill="1" applyAlignment="1">
      <alignment horizontal="center"/>
    </xf>
    <xf numFmtId="0" fontId="121" fillId="10" borderId="0" xfId="0" applyFont="1" applyFill="1"/>
    <xf numFmtId="2" fontId="129" fillId="10" borderId="0" xfId="0" applyNumberFormat="1" applyFont="1" applyFill="1"/>
    <xf numFmtId="0" fontId="121" fillId="10" borderId="0" xfId="0" applyFont="1" applyFill="1" applyAlignment="1">
      <alignment horizontal="right"/>
    </xf>
    <xf numFmtId="0" fontId="132" fillId="10" borderId="0" xfId="0" applyFont="1" applyFill="1"/>
    <xf numFmtId="0" fontId="121" fillId="7" borderId="0" xfId="0" applyFont="1" applyFill="1"/>
    <xf numFmtId="0" fontId="121" fillId="7" borderId="0" xfId="0" applyFont="1" applyFill="1" applyAlignment="1">
      <alignment horizontal="right"/>
    </xf>
    <xf numFmtId="2" fontId="129" fillId="7" borderId="0" xfId="0" applyNumberFormat="1" applyFont="1" applyFill="1"/>
    <xf numFmtId="0" fontId="132" fillId="7" borderId="0" xfId="0" applyFont="1" applyFill="1"/>
    <xf numFmtId="0" fontId="127" fillId="0" borderId="0" xfId="0" applyFont="1"/>
    <xf numFmtId="0" fontId="135" fillId="0" borderId="0" xfId="0" applyFont="1"/>
    <xf numFmtId="0" fontId="136" fillId="0" borderId="0" xfId="0" applyFont="1"/>
    <xf numFmtId="0" fontId="137" fillId="0" borderId="0" xfId="0" applyFont="1"/>
    <xf numFmtId="0" fontId="131" fillId="0" borderId="0" xfId="0" applyFont="1"/>
    <xf numFmtId="0" fontId="116" fillId="0" borderId="0" xfId="0" applyFont="1"/>
    <xf numFmtId="0" fontId="139" fillId="11" borderId="0" xfId="0" applyFont="1" applyFill="1"/>
    <xf numFmtId="0" fontId="140" fillId="0" borderId="0" xfId="0" applyFont="1"/>
    <xf numFmtId="166" fontId="127" fillId="0" borderId="0" xfId="0" applyNumberFormat="1" applyFont="1" applyAlignment="1">
      <alignment horizontal="center"/>
    </xf>
    <xf numFmtId="164" fontId="135" fillId="0" borderId="0" xfId="0" applyNumberFormat="1" applyFont="1"/>
    <xf numFmtId="2" fontId="109" fillId="0" borderId="0" xfId="0" applyNumberFormat="1" applyFont="1"/>
    <xf numFmtId="2" fontId="127" fillId="0" borderId="0" xfId="0" applyNumberFormat="1" applyFont="1"/>
    <xf numFmtId="0" fontId="141" fillId="0" borderId="0" xfId="0" applyFont="1"/>
    <xf numFmtId="0" fontId="142" fillId="0" borderId="0" xfId="0" applyFont="1"/>
    <xf numFmtId="0" fontId="143" fillId="0" borderId="0" xfId="0" applyFont="1"/>
    <xf numFmtId="0" fontId="117" fillId="0" borderId="0" xfId="0" applyFont="1"/>
    <xf numFmtId="15" fontId="0" fillId="0" borderId="0" xfId="0" applyNumberFormat="1"/>
    <xf numFmtId="0" fontId="133" fillId="22" borderId="0" xfId="0" applyFont="1" applyFill="1"/>
    <xf numFmtId="9" fontId="0" fillId="0" borderId="0" xfId="0" applyNumberFormat="1"/>
    <xf numFmtId="0" fontId="133" fillId="27" borderId="0" xfId="0" applyFont="1" applyFill="1"/>
    <xf numFmtId="0" fontId="111" fillId="27" borderId="0" xfId="0" applyFont="1" applyFill="1"/>
    <xf numFmtId="0" fontId="133" fillId="28" borderId="0" xfId="0" applyFont="1" applyFill="1"/>
    <xf numFmtId="0" fontId="134" fillId="28" borderId="0" xfId="0" applyFont="1" applyFill="1"/>
    <xf numFmtId="0" fontId="133" fillId="23" borderId="0" xfId="0" applyFont="1" applyFill="1"/>
    <xf numFmtId="171" fontId="109" fillId="0" borderId="0" xfId="0" applyNumberFormat="1" applyFont="1"/>
    <xf numFmtId="0" fontId="144" fillId="0" borderId="0" xfId="0" applyFont="1"/>
    <xf numFmtId="0" fontId="133" fillId="29" borderId="0" xfId="0" applyFont="1" applyFill="1"/>
    <xf numFmtId="171" fontId="127" fillId="0" borderId="0" xfId="0" applyNumberFormat="1" applyFont="1"/>
    <xf numFmtId="171" fontId="110" fillId="0" borderId="0" xfId="0" applyNumberFormat="1" applyFont="1"/>
    <xf numFmtId="0" fontId="133" fillId="30" borderId="0" xfId="0" applyFont="1" applyFill="1"/>
    <xf numFmtId="0" fontId="145" fillId="0" borderId="0" xfId="0" applyFont="1"/>
    <xf numFmtId="0" fontId="146" fillId="0" borderId="0" xfId="0" applyFont="1"/>
    <xf numFmtId="0" fontId="6" fillId="7" borderId="0" xfId="0" applyFont="1" applyFill="1" applyAlignment="1">
      <alignment vertical="top"/>
    </xf>
    <xf numFmtId="0" fontId="100" fillId="31" borderId="0" xfId="0" applyFont="1" applyFill="1" applyAlignment="1">
      <alignment vertical="top"/>
    </xf>
    <xf numFmtId="0" fontId="99" fillId="31" borderId="0" xfId="0" applyFont="1" applyFill="1" applyAlignment="1">
      <alignment vertical="top" wrapText="1"/>
    </xf>
    <xf numFmtId="0" fontId="12" fillId="11" borderId="0" xfId="0" applyFont="1" applyFill="1" applyAlignment="1">
      <alignment vertical="top" wrapText="1"/>
    </xf>
    <xf numFmtId="0" fontId="13" fillId="14" borderId="0" xfId="0" applyFont="1" applyFill="1" applyAlignment="1">
      <alignment vertical="top" wrapText="1"/>
    </xf>
    <xf numFmtId="0" fontId="13" fillId="21" borderId="0" xfId="0" applyFont="1" applyFill="1" applyAlignment="1">
      <alignment vertical="top" wrapText="1"/>
    </xf>
    <xf numFmtId="0" fontId="147" fillId="0" borderId="0" xfId="0" applyFont="1"/>
    <xf numFmtId="0" fontId="148" fillId="0" borderId="0" xfId="0" applyFont="1"/>
    <xf numFmtId="0" fontId="149" fillId="0" borderId="0" xfId="0" applyFont="1"/>
    <xf numFmtId="0" fontId="150" fillId="0" borderId="0" xfId="0" applyFont="1"/>
    <xf numFmtId="0" fontId="151" fillId="4" borderId="0" xfId="0" applyFont="1" applyFill="1" applyAlignment="1">
      <alignment vertical="top"/>
    </xf>
    <xf numFmtId="0" fontId="152" fillId="0" borderId="0" xfId="0" applyFont="1" applyAlignment="1">
      <alignment vertical="top"/>
    </xf>
    <xf numFmtId="0" fontId="153" fillId="0" borderId="0" xfId="0" applyFont="1"/>
    <xf numFmtId="0" fontId="154" fillId="0" borderId="0" xfId="0" applyFont="1"/>
    <xf numFmtId="0" fontId="152" fillId="0" borderId="0" xfId="0" applyFont="1"/>
    <xf numFmtId="0" fontId="155" fillId="0" borderId="0" xfId="0" applyFont="1"/>
    <xf numFmtId="0" fontId="155" fillId="31" borderId="0" xfId="0" applyFont="1" applyFill="1"/>
    <xf numFmtId="0" fontId="156" fillId="0" borderId="0" xfId="0" applyFont="1"/>
    <xf numFmtId="0" fontId="157" fillId="0" borderId="0" xfId="0" applyFont="1"/>
    <xf numFmtId="0" fontId="154" fillId="8" borderId="0" xfId="0" applyFont="1" applyFill="1"/>
    <xf numFmtId="0" fontId="158" fillId="0" borderId="0" xfId="0" applyFont="1"/>
    <xf numFmtId="0" fontId="158" fillId="11" borderId="0" xfId="0" applyFont="1" applyFill="1"/>
    <xf numFmtId="0" fontId="153" fillId="14" borderId="0" xfId="0" applyFont="1" applyFill="1"/>
    <xf numFmtId="0" fontId="153" fillId="21" borderId="0" xfId="0" applyFont="1" applyFill="1"/>
    <xf numFmtId="0" fontId="7" fillId="32" borderId="0" xfId="0" applyFont="1" applyFill="1" applyAlignment="1">
      <alignment horizontal="center"/>
    </xf>
    <xf numFmtId="0" fontId="7" fillId="33" borderId="0" xfId="0" applyFont="1" applyFill="1" applyAlignment="1">
      <alignment horizontal="center"/>
    </xf>
    <xf numFmtId="0" fontId="99" fillId="6" borderId="0" xfId="0" applyFont="1" applyFill="1" applyAlignment="1">
      <alignment horizontal="center"/>
    </xf>
    <xf numFmtId="0" fontId="99" fillId="7" borderId="0" xfId="0" applyFont="1" applyFill="1" applyAlignment="1">
      <alignment horizontal="center"/>
    </xf>
    <xf numFmtId="0" fontId="97" fillId="6" borderId="0" xfId="0" applyFont="1" applyFill="1" applyAlignment="1">
      <alignment horizontal="center"/>
    </xf>
    <xf numFmtId="0" fontId="97" fillId="7" borderId="0" xfId="0" applyFont="1" applyFill="1" applyAlignment="1">
      <alignment horizontal="center"/>
    </xf>
    <xf numFmtId="9" fontId="133" fillId="28" borderId="0" xfId="0" applyNumberFormat="1" applyFont="1" applyFill="1"/>
    <xf numFmtId="0" fontId="115" fillId="28" borderId="0" xfId="0" applyFont="1" applyFill="1"/>
    <xf numFmtId="0" fontId="115" fillId="28" borderId="0" xfId="0" applyFont="1" applyFill="1" applyAlignment="1">
      <alignment horizontal="center"/>
    </xf>
    <xf numFmtId="0" fontId="111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66" fontId="138" fillId="0" borderId="0" xfId="0" applyNumberFormat="1" applyFont="1"/>
    <xf numFmtId="0" fontId="133" fillId="27" borderId="0" xfId="0" applyFont="1" applyFill="1" applyAlignment="1">
      <alignment horizontal="center"/>
    </xf>
    <xf numFmtId="0" fontId="135" fillId="27" borderId="0" xfId="0" applyFont="1" applyFill="1"/>
    <xf numFmtId="10" fontId="0" fillId="27" borderId="0" xfId="0" applyNumberFormat="1" applyFill="1" applyAlignment="1">
      <alignment horizontal="center"/>
    </xf>
    <xf numFmtId="9" fontId="0" fillId="27" borderId="0" xfId="0" applyNumberFormat="1" applyFill="1" applyAlignment="1">
      <alignment horizontal="center"/>
    </xf>
    <xf numFmtId="3" fontId="0" fillId="27" borderId="0" xfId="0" applyNumberFormat="1" applyFill="1" applyAlignment="1">
      <alignment horizontal="center"/>
    </xf>
    <xf numFmtId="0" fontId="0" fillId="27" borderId="0" xfId="0" applyFill="1"/>
    <xf numFmtId="0" fontId="160" fillId="0" borderId="0" xfId="0" applyFont="1" applyAlignment="1">
      <alignment horizontal="center"/>
    </xf>
    <xf numFmtId="0" fontId="160" fillId="0" borderId="0" xfId="0" applyFont="1"/>
    <xf numFmtId="10" fontId="156" fillId="0" borderId="0" xfId="0" applyNumberFormat="1" applyFont="1" applyAlignment="1">
      <alignment horizontal="center"/>
    </xf>
    <xf numFmtId="9" fontId="156" fillId="0" borderId="0" xfId="0" applyNumberFormat="1" applyFont="1" applyAlignment="1">
      <alignment horizontal="center"/>
    </xf>
    <xf numFmtId="3" fontId="156" fillId="0" borderId="0" xfId="0" applyNumberFormat="1" applyFont="1" applyAlignment="1">
      <alignment horizontal="center"/>
    </xf>
    <xf numFmtId="0" fontId="161" fillId="0" borderId="0" xfId="0" applyFont="1"/>
    <xf numFmtId="0" fontId="115" fillId="33" borderId="0" xfId="0" applyFont="1" applyFill="1"/>
    <xf numFmtId="0" fontId="115" fillId="33" borderId="0" xfId="0" applyFont="1" applyFill="1" applyAlignment="1">
      <alignment horizontal="center"/>
    </xf>
    <xf numFmtId="0" fontId="162" fillId="11" borderId="0" xfId="0" applyFont="1" applyFill="1"/>
    <xf numFmtId="0" fontId="158" fillId="11" borderId="0" xfId="0" applyFont="1" applyFill="1" applyAlignment="1">
      <alignment horizontal="center"/>
    </xf>
    <xf numFmtId="0" fontId="162" fillId="0" borderId="0" xfId="0" applyFont="1"/>
    <xf numFmtId="0" fontId="162" fillId="11" borderId="0" xfId="0" applyFont="1" applyFill="1" applyAlignment="1">
      <alignment horizontal="center"/>
    </xf>
    <xf numFmtId="0" fontId="162" fillId="10" borderId="0" xfId="0" applyFont="1" applyFill="1" applyAlignment="1">
      <alignment horizontal="center"/>
    </xf>
    <xf numFmtId="0" fontId="163" fillId="11" borderId="0" xfId="0" applyFont="1" applyFill="1"/>
    <xf numFmtId="0" fontId="159" fillId="25" borderId="0" xfId="0" applyFont="1" applyFill="1"/>
    <xf numFmtId="10" fontId="116" fillId="27" borderId="0" xfId="0" applyNumberFormat="1" applyFont="1" applyFill="1" applyAlignment="1">
      <alignment horizontal="center"/>
    </xf>
    <xf numFmtId="166" fontId="138" fillId="27" borderId="0" xfId="0" applyNumberFormat="1" applyFont="1" applyFill="1"/>
    <xf numFmtId="0" fontId="164" fillId="0" borderId="0" xfId="0" applyFont="1"/>
    <xf numFmtId="0" fontId="165" fillId="0" borderId="0" xfId="0" applyFont="1"/>
    <xf numFmtId="0" fontId="166" fillId="10" borderId="0" xfId="0" applyFont="1" applyFill="1" applyAlignment="1">
      <alignment horizontal="center"/>
    </xf>
    <xf numFmtId="0" fontId="31" fillId="8" borderId="0" xfId="0" applyFont="1" applyFill="1"/>
    <xf numFmtId="0" fontId="14" fillId="8" borderId="0" xfId="0" applyFont="1" applyFill="1"/>
    <xf numFmtId="0" fontId="30" fillId="8" borderId="0" xfId="0" applyFont="1" applyFill="1"/>
    <xf numFmtId="0" fontId="8" fillId="7" borderId="0" xfId="0" applyFont="1" applyFill="1" applyAlignment="1">
      <alignment horizontal="center"/>
    </xf>
    <xf numFmtId="0" fontId="8" fillId="10" borderId="0" xfId="0" applyFont="1" applyFill="1"/>
    <xf numFmtId="0" fontId="8" fillId="7" borderId="0" xfId="0" applyFont="1" applyFill="1"/>
    <xf numFmtId="0" fontId="8" fillId="10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3" borderId="0" xfId="0" applyFont="1" applyFill="1"/>
    <xf numFmtId="0" fontId="7" fillId="9" borderId="0" xfId="0" applyFont="1" applyFill="1" applyAlignment="1">
      <alignment horizontal="left"/>
    </xf>
    <xf numFmtId="0" fontId="7" fillId="9" borderId="0" xfId="0" applyFont="1" applyFill="1" applyAlignment="1">
      <alignment horizontal="center"/>
    </xf>
    <xf numFmtId="0" fontId="35" fillId="11" borderId="0" xfId="0" applyFont="1" applyFill="1" applyAlignment="1">
      <alignment horizontal="left"/>
    </xf>
    <xf numFmtId="0" fontId="22" fillId="8" borderId="0" xfId="0" applyFont="1" applyFill="1" applyAlignment="1">
      <alignment horizontal="left"/>
    </xf>
    <xf numFmtId="0" fontId="23" fillId="8" borderId="0" xfId="0" applyFont="1" applyFill="1" applyAlignment="1">
      <alignment horizontal="left"/>
    </xf>
    <xf numFmtId="0" fontId="9" fillId="8" borderId="0" xfId="0" applyFont="1" applyFill="1" applyAlignment="1">
      <alignment horizontal="right"/>
    </xf>
    <xf numFmtId="0" fontId="4" fillId="4" borderId="0" xfId="0" applyFont="1" applyFill="1" applyAlignment="1">
      <alignment horizontal="left"/>
    </xf>
    <xf numFmtId="0" fontId="25" fillId="8" borderId="0" xfId="0" applyFont="1" applyFill="1" applyAlignment="1">
      <alignment horizontal="left"/>
    </xf>
    <xf numFmtId="0" fontId="24" fillId="8" borderId="0" xfId="0" applyFont="1" applyFill="1"/>
    <xf numFmtId="0" fontId="45" fillId="8" borderId="0" xfId="0" applyFont="1" applyFill="1"/>
    <xf numFmtId="0" fontId="26" fillId="8" borderId="0" xfId="0" applyFont="1" applyFill="1"/>
    <xf numFmtId="0" fontId="83" fillId="2" borderId="0" xfId="0" applyFont="1" applyFill="1" applyAlignment="1">
      <alignment horizontal="left"/>
    </xf>
    <xf numFmtId="0" fontId="0" fillId="0" borderId="0" xfId="0"/>
    <xf numFmtId="0" fontId="27" fillId="4" borderId="0" xfId="0" applyFont="1" applyFill="1"/>
    <xf numFmtId="0" fontId="0" fillId="4" borderId="0" xfId="0" applyFill="1"/>
    <xf numFmtId="0" fontId="106" fillId="10" borderId="0" xfId="0" applyFont="1" applyFill="1"/>
    <xf numFmtId="0" fontId="0" fillId="10" borderId="0" xfId="0" applyFill="1"/>
    <xf numFmtId="0" fontId="104" fillId="2" borderId="0" xfId="0" applyFont="1" applyFill="1"/>
    <xf numFmtId="0" fontId="0" fillId="2" borderId="0" xfId="0" applyFill="1"/>
    <xf numFmtId="0" fontId="0" fillId="3" borderId="0" xfId="0" applyFill="1"/>
    <xf numFmtId="0" fontId="88" fillId="11" borderId="0" xfId="0" applyFont="1" applyFill="1"/>
    <xf numFmtId="0" fontId="0" fillId="11" borderId="0" xfId="0" applyFill="1"/>
    <xf numFmtId="168" fontId="55" fillId="6" borderId="0" xfId="0" applyNumberFormat="1" applyFont="1" applyFill="1" applyBorder="1" applyAlignment="1">
      <alignment horizontal="center"/>
    </xf>
    <xf numFmtId="0" fontId="55" fillId="6" borderId="0" xfId="0" applyFont="1" applyFill="1" applyBorder="1" applyAlignment="1">
      <alignment horizontal="center"/>
    </xf>
    <xf numFmtId="2" fontId="55" fillId="6" borderId="0" xfId="0" applyNumberFormat="1" applyFont="1" applyFill="1" applyBorder="1" applyAlignment="1">
      <alignment horizontal="center"/>
    </xf>
    <xf numFmtId="1" fontId="55" fillId="6" borderId="0" xfId="0" applyNumberFormat="1" applyFont="1" applyFill="1" applyBorder="1" applyAlignment="1">
      <alignment horizontal="center"/>
    </xf>
    <xf numFmtId="166" fontId="55" fillId="6" borderId="0" xfId="0" applyNumberFormat="1" applyFont="1" applyFill="1" applyBorder="1" applyAlignment="1">
      <alignment horizontal="center"/>
    </xf>
    <xf numFmtId="1" fontId="56" fillId="6" borderId="0" xfId="0" applyNumberFormat="1" applyFont="1" applyFill="1" applyBorder="1" applyAlignment="1">
      <alignment horizontal="center"/>
    </xf>
    <xf numFmtId="4" fontId="55" fillId="6" borderId="0" xfId="0" applyNumberFormat="1" applyFont="1" applyFill="1" applyBorder="1" applyAlignment="1">
      <alignment horizontal="center"/>
    </xf>
    <xf numFmtId="164" fontId="55" fillId="6" borderId="0" xfId="0" applyNumberFormat="1" applyFont="1" applyFill="1" applyBorder="1" applyAlignment="1">
      <alignment horizontal="center"/>
    </xf>
    <xf numFmtId="169" fontId="55" fillId="6" borderId="0" xfId="0" applyNumberFormat="1" applyFont="1" applyFill="1" applyBorder="1" applyAlignment="1">
      <alignment horizontal="center"/>
    </xf>
    <xf numFmtId="1" fontId="64" fillId="6" borderId="0" xfId="0" applyNumberFormat="1" applyFont="1" applyFill="1" applyBorder="1" applyAlignment="1">
      <alignment horizontal="center"/>
    </xf>
    <xf numFmtId="0" fontId="55" fillId="6" borderId="0" xfId="0" applyFont="1" applyFill="1" applyBorder="1" applyAlignment="1">
      <alignment horizontal="left"/>
    </xf>
    <xf numFmtId="0" fontId="85" fillId="6" borderId="0" xfId="0" applyFont="1" applyFill="1" applyBorder="1" applyAlignment="1">
      <alignment horizontal="left"/>
    </xf>
  </cellXfs>
  <cellStyles count="1">
    <cellStyle name="Normal" xfId="0" builtinId="0"/>
  </cellStyles>
  <dxfs count="15">
    <dxf>
      <font>
        <color rgb="FF1A7A3A"/>
      </font>
      <fill>
        <patternFill patternType="solid">
          <fgColor indexed="64"/>
          <bgColor rgb="FFE8F5E9"/>
        </patternFill>
      </fill>
    </dxf>
    <dxf>
      <font>
        <color rgb="FFB8860B"/>
      </font>
      <fill>
        <patternFill patternType="solid">
          <fgColor indexed="64"/>
          <bgColor rgb="FFFFFBE6"/>
        </patternFill>
      </fill>
    </dxf>
    <dxf>
      <font>
        <color rgb="FFCC0000"/>
      </font>
      <fill>
        <patternFill patternType="solid">
          <fgColor indexed="64"/>
          <bgColor rgb="FFFFF0F0"/>
        </patternFill>
      </fill>
    </dxf>
    <dxf>
      <font>
        <color rgb="FF1A7A3A"/>
      </font>
      <fill>
        <patternFill patternType="solid">
          <fgColor indexed="64"/>
          <bgColor rgb="FFE8F5E9"/>
        </patternFill>
      </fill>
    </dxf>
    <dxf>
      <font>
        <color rgb="FFB8860B"/>
      </font>
      <fill>
        <patternFill patternType="solid">
          <fgColor indexed="64"/>
          <bgColor rgb="FFFFFBE6"/>
        </patternFill>
      </fill>
    </dxf>
    <dxf>
      <font>
        <color rgb="FFCC0000"/>
      </font>
      <fill>
        <patternFill patternType="solid">
          <fgColor indexed="64"/>
          <bgColor rgb="FFFFF0F0"/>
        </patternFill>
      </fill>
    </dxf>
    <dxf>
      <font>
        <color rgb="FF1A7A3A"/>
      </font>
      <fill>
        <patternFill patternType="solid">
          <fgColor indexed="64"/>
          <bgColor rgb="FFE8F5E9"/>
        </patternFill>
      </fill>
    </dxf>
    <dxf>
      <font>
        <color rgb="FFB8860B"/>
      </font>
      <fill>
        <patternFill patternType="solid">
          <fgColor indexed="64"/>
          <bgColor rgb="FFFFFBE6"/>
        </patternFill>
      </fill>
    </dxf>
    <dxf>
      <font>
        <color rgb="FFCC0000"/>
      </font>
      <fill>
        <patternFill patternType="solid">
          <fgColor indexed="64"/>
          <bgColor rgb="FFFFF0F0"/>
        </patternFill>
      </fill>
    </dxf>
    <dxf>
      <font>
        <b/>
        <i val="0"/>
        <color rgb="FFFFFFFF"/>
      </font>
      <fill>
        <patternFill patternType="solid">
          <fgColor indexed="64"/>
          <bgColor rgb="FF8B0000"/>
        </patternFill>
      </fill>
    </dxf>
    <dxf>
      <font>
        <b/>
        <i val="0"/>
        <color rgb="FFFFFFFF"/>
      </font>
      <fill>
        <patternFill patternType="solid">
          <fgColor indexed="64"/>
          <bgColor rgb="FF0D1B2A"/>
        </patternFill>
      </fill>
    </dxf>
    <dxf>
      <font>
        <b/>
        <i val="0"/>
        <color rgb="FF8B0000"/>
      </font>
      <fill>
        <patternFill patternType="solid">
          <fgColor indexed="64"/>
          <bgColor rgb="FFFFF0F0"/>
        </patternFill>
      </fill>
    </dxf>
    <dxf>
      <font>
        <b val="0"/>
        <i val="0"/>
        <color rgb="FF1B2A4A"/>
      </font>
      <fill>
        <patternFill patternType="solid">
          <fgColor indexed="64"/>
          <bgColor rgb="FFFFFBE6"/>
        </patternFill>
      </fill>
    </dxf>
    <dxf>
      <font>
        <color rgb="FFFFFFFF"/>
      </font>
      <fill>
        <patternFill patternType="solid">
          <fgColor indexed="64"/>
          <bgColor rgb="FFFFFFFF"/>
        </patternFill>
      </fill>
    </dxf>
    <dxf>
      <font>
        <color rgb="FFFFFFFF"/>
      </font>
      <fill>
        <patternFill patternType="solid">
          <fgColor indexed="64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13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69762A9-C944-4696-8918-F9D5FE367550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75238-A69C-4F5E-B8E2-45BC16736F3A}">
  <sheetPr>
    <tabColor rgb="FF2D3E5F"/>
  </sheetPr>
  <dimension ref="A1:N111"/>
  <sheetViews>
    <sheetView topLeftCell="C1" zoomScale="93" workbookViewId="0">
      <selection activeCell="I96" sqref="I96"/>
    </sheetView>
  </sheetViews>
  <sheetFormatPr baseColWidth="10" defaultRowHeight="14.25" x14ac:dyDescent="0.45"/>
  <cols>
    <col min="1" max="1" width="64.06640625" bestFit="1" customWidth="1"/>
    <col min="2" max="2" width="32.33203125" customWidth="1"/>
    <col min="3" max="3" width="72.73046875" bestFit="1" customWidth="1"/>
    <col min="4" max="4" width="19.73046875" customWidth="1"/>
    <col min="5" max="5" width="16.46484375" bestFit="1" customWidth="1"/>
    <col min="6" max="6" width="19.73046875" customWidth="1"/>
    <col min="7" max="7" width="17.06640625" customWidth="1"/>
    <col min="8" max="8" width="17.9296875" customWidth="1"/>
    <col min="9" max="9" width="50.19921875" customWidth="1"/>
    <col min="10" max="10" width="37.6640625" customWidth="1"/>
    <col min="11" max="11" width="12.53125" customWidth="1"/>
    <col min="12" max="12" width="16.1328125" customWidth="1"/>
    <col min="13" max="13" width="14.3984375" customWidth="1"/>
    <col min="14" max="14" width="21.53125" customWidth="1"/>
  </cols>
  <sheetData>
    <row r="1" spans="1:14" ht="22.5" x14ac:dyDescent="0.6">
      <c r="A1" s="445" t="s">
        <v>0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</row>
    <row r="2" spans="1:14" x14ac:dyDescent="0.45">
      <c r="A2" s="446" t="s">
        <v>1</v>
      </c>
      <c r="B2" s="446"/>
      <c r="C2" s="446"/>
      <c r="D2" s="446"/>
      <c r="E2" s="446"/>
      <c r="F2" s="446"/>
      <c r="G2" s="446"/>
      <c r="H2" s="446"/>
      <c r="I2" s="446"/>
      <c r="J2" s="446"/>
      <c r="K2" s="446"/>
    </row>
    <row r="3" spans="1:14" x14ac:dyDescent="0.45">
      <c r="A3" s="447" t="s">
        <v>566</v>
      </c>
      <c r="B3" s="447"/>
      <c r="C3" s="447"/>
      <c r="D3" s="447"/>
      <c r="E3" s="447"/>
      <c r="F3" s="447"/>
      <c r="G3" s="447"/>
      <c r="H3" s="447"/>
      <c r="I3" s="447"/>
      <c r="J3" s="447"/>
      <c r="K3" s="447"/>
    </row>
    <row r="4" spans="1:14" ht="8.1" customHeight="1" x14ac:dyDescent="0.45"/>
    <row r="5" spans="1:14" ht="16.899999999999999" x14ac:dyDescent="0.5">
      <c r="A5" s="454" t="s">
        <v>82</v>
      </c>
      <c r="B5" s="454"/>
      <c r="C5" s="454"/>
      <c r="D5" s="454"/>
      <c r="E5" s="454"/>
      <c r="F5" s="454"/>
      <c r="G5" s="454"/>
      <c r="H5" s="454"/>
      <c r="I5" s="454"/>
      <c r="J5" s="454"/>
      <c r="K5" s="2" t="s">
        <v>906</v>
      </c>
      <c r="L5" s="1"/>
      <c r="M5" s="1"/>
      <c r="N5" s="1"/>
    </row>
    <row r="6" spans="1:14" x14ac:dyDescent="0.45">
      <c r="A6" s="3" t="s">
        <v>2</v>
      </c>
      <c r="B6" s="4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H6" s="3" t="s">
        <v>9</v>
      </c>
      <c r="I6" s="3" t="s">
        <v>10</v>
      </c>
      <c r="J6" s="3" t="s">
        <v>11</v>
      </c>
      <c r="K6" s="3" t="s">
        <v>12</v>
      </c>
      <c r="L6" s="100" t="s">
        <v>116</v>
      </c>
      <c r="M6" s="100" t="s">
        <v>117</v>
      </c>
      <c r="N6" s="100" t="s">
        <v>118</v>
      </c>
    </row>
    <row r="7" spans="1:14" x14ac:dyDescent="0.45">
      <c r="A7" s="5">
        <v>1</v>
      </c>
      <c r="B7" s="6" t="s">
        <v>13</v>
      </c>
      <c r="C7" s="7">
        <v>26.78</v>
      </c>
      <c r="D7" s="8" t="s">
        <v>151</v>
      </c>
      <c r="E7" s="9" t="s">
        <v>564</v>
      </c>
      <c r="F7" s="10" t="s">
        <v>565</v>
      </c>
      <c r="G7" s="11" t="s">
        <v>14</v>
      </c>
      <c r="H7" s="12" t="str">
        <f>IF(C7&lt;15,"✅ Risk-On",IF(C7&lt;=22,"⚠️ Neutral","🔴 Risk-Off"))</f>
        <v>🔴 Risk-Off</v>
      </c>
      <c r="I7" s="13">
        <f>ROUND(MAX(0,MIN(100, IF(C7&lt;=15,100, IF(C7&gt;=35,0, 100-(C7-15)/(35-15)*100)))),0)</f>
        <v>41</v>
      </c>
      <c r="J7" s="14">
        <v>0.3</v>
      </c>
      <c r="K7" s="15">
        <f>I7*J7</f>
        <v>12.299999999999999</v>
      </c>
      <c r="L7" s="145">
        <v>23.51</v>
      </c>
      <c r="M7" s="111">
        <f>IF(L7="","",C7-L7)</f>
        <v>3.2699999999999996</v>
      </c>
      <c r="N7" s="146" t="str">
        <f>IF(M7="","⏳ Awaiting data",IF(ABS(M7)&lt;1,"→ Stable",IF(M7&gt;0,"↗ Deteriorating","↘ Improving")))</f>
        <v>↗ Deteriorating</v>
      </c>
    </row>
    <row r="8" spans="1:14" x14ac:dyDescent="0.45">
      <c r="A8" s="16">
        <v>2</v>
      </c>
      <c r="B8" s="17" t="s">
        <v>15</v>
      </c>
      <c r="C8" s="18">
        <v>320</v>
      </c>
      <c r="D8" s="19" t="s">
        <v>102</v>
      </c>
      <c r="E8" s="20" t="s">
        <v>152</v>
      </c>
      <c r="F8" s="21" t="s">
        <v>153</v>
      </c>
      <c r="G8" s="22" t="s">
        <v>14</v>
      </c>
      <c r="H8" s="23" t="str">
        <f>IF(C8&lt;200,"✅ Risk-On",IF(C8&lt;=400,"⚠️ Neutral","🔴 Risk-Off"))</f>
        <v>⚠️ Neutral</v>
      </c>
      <c r="I8" s="24">
        <f>ROUND(MAX(0,MIN(100, IF(C8&lt;=200,100, IF(C8&gt;=600,0, 100-(C8-200)/(600-200)*100)))),0)</f>
        <v>70</v>
      </c>
      <c r="J8" s="25">
        <v>0.3</v>
      </c>
      <c r="K8" s="27">
        <f>I8*J8</f>
        <v>21</v>
      </c>
      <c r="L8" s="145">
        <v>317</v>
      </c>
      <c r="M8" s="121">
        <f>IF(L8="","",C8-L8)</f>
        <v>3</v>
      </c>
      <c r="N8" s="147" t="str">
        <f>IF(M8="","⏳ Awaiting data",IF(ABS(M8)&lt;10,"→ Stable",IF(M8&gt;0,"↗ Deteriorating","↘ Improving")))</f>
        <v>→ Stable</v>
      </c>
    </row>
    <row r="9" spans="1:14" x14ac:dyDescent="0.45">
      <c r="A9" s="5">
        <v>3</v>
      </c>
      <c r="B9" s="6" t="s">
        <v>16</v>
      </c>
      <c r="C9" s="7">
        <v>0.57999999999999996</v>
      </c>
      <c r="D9" s="8" t="s">
        <v>154</v>
      </c>
      <c r="E9" s="9" t="s">
        <v>155</v>
      </c>
      <c r="F9" s="10" t="s">
        <v>156</v>
      </c>
      <c r="G9" s="11" t="s">
        <v>14</v>
      </c>
      <c r="H9" s="12" t="str">
        <f>IF(C9&lt;0.5,"✅ Risk-On",IF(C9&lt;=1.2,"⚠️ Neutral","🔴 Risk-Off"))</f>
        <v>⚠️ Neutral</v>
      </c>
      <c r="I9" s="13">
        <f>ROUND(MAX(0,MIN(100, IF(C9&lt;=0.5,100, IF(C9&gt;=2,0, 100-(C9-0.5)/(2-0.5)*100)))),0)</f>
        <v>95</v>
      </c>
      <c r="J9" s="14">
        <v>0.2</v>
      </c>
      <c r="K9" s="15">
        <f>I9*J9</f>
        <v>19</v>
      </c>
      <c r="L9" s="145">
        <v>0.57999999999999996</v>
      </c>
      <c r="M9" s="111">
        <f>IF(L9="","",C9-L9)</f>
        <v>0</v>
      </c>
      <c r="N9" s="146" t="str">
        <f>IF(M9="","⏳ Awaiting data",IF(ABS(M9)&lt;0.05,"→ Stable",IF(M9&gt;0,"↗ Deteriorating","↘ Improving")))</f>
        <v>→ Stable</v>
      </c>
    </row>
    <row r="10" spans="1:14" x14ac:dyDescent="0.45">
      <c r="A10" s="16">
        <v>4</v>
      </c>
      <c r="B10" s="17" t="s">
        <v>17</v>
      </c>
      <c r="C10" s="28">
        <v>0.42</v>
      </c>
      <c r="D10" s="19" t="s">
        <v>157</v>
      </c>
      <c r="E10" s="20" t="s">
        <v>158</v>
      </c>
      <c r="F10" s="21" t="s">
        <v>159</v>
      </c>
      <c r="G10" s="22" t="s">
        <v>18</v>
      </c>
      <c r="H10" s="23" t="str">
        <f>IF(C10&gt;0.8,"✅ Risk-On",IF(C10&gt;=0.4,"⚠️ Neutral","🔴 Risk-Off"))</f>
        <v>⚠️ Neutral</v>
      </c>
      <c r="I10" s="24">
        <f>ROUND(MAX(0,MIN(100, IF(C10&gt;=0.8,100, IF(C10&lt;=0.2,0, (C10-0.2)/(0.8-0.2)*100)))),0)</f>
        <v>37</v>
      </c>
      <c r="J10" s="25">
        <v>0.15</v>
      </c>
      <c r="K10" s="27">
        <f>I10*J10</f>
        <v>5.55</v>
      </c>
      <c r="L10" s="145">
        <v>0.48</v>
      </c>
      <c r="M10" s="121">
        <f>IF(L10="","",C10-L10)</f>
        <v>-0.06</v>
      </c>
      <c r="N10" s="147" t="str">
        <f>IF(M10="","⏳ Awaiting data",IF(ABS(M10)&lt;0.02,"→ Stable",IF(M10&gt;0,"↗ Improving","↘ Deteriorating")))</f>
        <v>↘ Deteriorating</v>
      </c>
    </row>
    <row r="11" spans="1:14" x14ac:dyDescent="0.45">
      <c r="A11" s="16">
        <v>5</v>
      </c>
      <c r="B11" s="17" t="s">
        <v>567</v>
      </c>
      <c r="C11" s="28">
        <v>1.05</v>
      </c>
      <c r="D11" s="19" t="s">
        <v>568</v>
      </c>
      <c r="E11" s="20" t="s">
        <v>569</v>
      </c>
      <c r="F11" s="21" t="s">
        <v>570</v>
      </c>
      <c r="G11" s="22" t="s">
        <v>14</v>
      </c>
      <c r="H11" s="23" t="str">
        <f>IF(C11&lt;0.85,"✅ Risk-On",IF(C11&lt;=1,"⚠️ Neutral","🔴 Risk-Off"))</f>
        <v>🔴 Risk-Off</v>
      </c>
      <c r="I11" s="24">
        <f>ROUND(MAX(0,MIN(100, IF(C11&lt;=0.85,100, IF(C11&gt;=1.2,0, 100-(C11-0.85)/(1.2-0.85)*100)))),0)</f>
        <v>43</v>
      </c>
      <c r="J11" s="25">
        <v>0.05</v>
      </c>
      <c r="K11" s="27">
        <f>I11*J11</f>
        <v>2.15</v>
      </c>
      <c r="L11" s="145">
        <v>1.02</v>
      </c>
      <c r="M11" s="121"/>
      <c r="N11" s="147"/>
    </row>
    <row r="12" spans="1:14" x14ac:dyDescent="0.45">
      <c r="A12" s="16"/>
      <c r="B12" s="17"/>
      <c r="C12" s="28"/>
      <c r="D12" s="19"/>
      <c r="E12" s="20"/>
      <c r="F12" s="21"/>
      <c r="G12" s="22"/>
      <c r="H12" s="23"/>
      <c r="I12" s="24"/>
      <c r="J12" s="25"/>
      <c r="K12" s="27"/>
      <c r="L12" s="145"/>
      <c r="M12" s="121"/>
      <c r="N12" s="147"/>
    </row>
    <row r="13" spans="1:14" ht="17.649999999999999" x14ac:dyDescent="0.5">
      <c r="A13" s="29"/>
      <c r="B13" s="30" t="s">
        <v>19</v>
      </c>
      <c r="C13" s="29"/>
      <c r="D13" s="29"/>
      <c r="E13" s="29"/>
      <c r="F13" s="29"/>
      <c r="G13" s="29"/>
      <c r="H13" s="29"/>
      <c r="I13" s="31">
        <f>ROUND(SUM(K7:K11),0)</f>
        <v>60</v>
      </c>
      <c r="J13" s="32">
        <f>SUM(J7:J11)</f>
        <v>1</v>
      </c>
      <c r="K13" s="33">
        <f>SUM(K7:K11)</f>
        <v>59.999999999999993</v>
      </c>
      <c r="L13" s="29"/>
      <c r="M13" s="29"/>
      <c r="N13" s="29"/>
    </row>
    <row r="14" spans="1:14" ht="8.1" customHeight="1" x14ac:dyDescent="0.45"/>
    <row r="15" spans="1:14" ht="16.899999999999999" x14ac:dyDescent="0.5">
      <c r="A15" s="454" t="s">
        <v>20</v>
      </c>
      <c r="B15" s="454"/>
      <c r="C15" s="454"/>
      <c r="D15" s="454"/>
      <c r="E15" s="454"/>
      <c r="F15" s="454"/>
      <c r="G15" s="454"/>
      <c r="H15" s="454"/>
      <c r="I15" s="454"/>
      <c r="J15" s="454"/>
      <c r="K15" s="454"/>
    </row>
    <row r="16" spans="1:14" ht="17.649999999999999" x14ac:dyDescent="0.5">
      <c r="A16" s="34"/>
      <c r="B16" s="35" t="s">
        <v>84</v>
      </c>
      <c r="C16" s="450" t="str">
        <f>IF(I13&gt;=80,"✅ CLEAR RISK-ON",IF(I13&gt;=60,"⚠️ RISK-ON (Moderate)",IF(I13&gt;=45,"⚖️ NEUTRAL",IF(I13&gt;=35,"⚠️ RISK-OFF (Moderate)","🔴 CLEAR RISK-OFF"))))</f>
        <v>⚠️ RISK-ON (Moderate)</v>
      </c>
      <c r="D16" s="451"/>
      <c r="E16" s="451"/>
      <c r="F16" s="453" t="s">
        <v>769</v>
      </c>
      <c r="G16" s="453"/>
      <c r="H16" s="453"/>
      <c r="I16" s="453"/>
      <c r="J16" s="453"/>
      <c r="K16" s="453"/>
    </row>
    <row r="17" spans="1:14" ht="17.649999999999999" x14ac:dyDescent="0.5">
      <c r="A17" s="34"/>
      <c r="B17" s="35" t="s">
        <v>21</v>
      </c>
      <c r="C17" s="452" t="str">
        <f>I13&amp;" / 100"</f>
        <v>60 / 100</v>
      </c>
      <c r="D17" s="452"/>
      <c r="E17" s="452"/>
      <c r="F17" s="440" t="s">
        <v>770</v>
      </c>
      <c r="G17" s="456"/>
      <c r="H17" s="456"/>
      <c r="I17" s="456"/>
      <c r="J17" s="456"/>
      <c r="K17" s="456"/>
    </row>
    <row r="18" spans="1:14" ht="15.4" x14ac:dyDescent="0.45">
      <c r="A18" s="34"/>
      <c r="B18" s="35" t="s">
        <v>22</v>
      </c>
      <c r="C18" s="455" t="str">
        <f>IF(COUNTA(L7:L10)=0,IF(I13&gt;=80,"🟢 LOW (&lt;15%) — No trend data yet",IF(I13&gt;=60,"⚠️ MODERATE (20-40%)",IF(I13&gt;=50,"🟡 ELEVATED (40-60%)","🔴 HIGH (&gt;60%)"))),IF(COUNTIF(N7:N10,"*Deteriorating*")&gt;=3,"🔴 HIGH (&gt;50%) — "&amp;COUNTIF(N7:N10,"*Deteriorating*")&amp;" indicators deteriorating",IF(OR(COUNTIF(N7:N10,"*Deteriorating*")&gt;=2,AND(C7&gt;=22,C7&lt;=28),AND(C8&gt;=350,C8&lt;=450)),"🟡 ELEVATED (30-50%) — Warning signs emerging",IF(OR(COUNTIF(N7:N10,"*Deteriorating*")&gt;=1,C7&gt;=20),"⚠️ MODERATE (15-30%) — Watch closely","🟢 LOW (&lt;15%) — Regime stable"))))</f>
        <v>🟡 ELEVATED (30-50%) — Warning signs emerging</v>
      </c>
      <c r="D18" s="455"/>
      <c r="E18" s="455"/>
      <c r="F18" s="457" t="s">
        <v>771</v>
      </c>
      <c r="G18" s="458"/>
      <c r="H18" s="458"/>
      <c r="I18" s="458"/>
      <c r="J18" s="458"/>
      <c r="K18" s="458"/>
    </row>
    <row r="19" spans="1:14" x14ac:dyDescent="0.45">
      <c r="B19" s="152" t="s">
        <v>121</v>
      </c>
      <c r="C19" s="151" t="str">
        <f>IF(COUNTA(L7:L10)=0,"⏳ Fill column L (Last Week) to activate trend tracking","Deteriorating: "&amp;COUNTIF(N7:N10,"*Deteriorating*")&amp;" | Improving: "&amp;COUNTIF(N7:N10,"*Improving*")&amp;" | Stable: "&amp;COUNTIF(N7:N10,"*Stable*")&amp;IF(AND(C7&gt;=22,C7&lt;=28)," | ⚠️ VIX near trigger (25)","")&amp;IF(AND(C8&gt;=350,C8&lt;=450)," | ⚠️ Spreads near trigger",""))</f>
        <v>Deteriorating: 2 | Improving: 0 | Stable: 2 | ⚠️ VIX near trigger (25)</v>
      </c>
      <c r="F19" s="435" t="s">
        <v>763</v>
      </c>
    </row>
    <row r="20" spans="1:14" x14ac:dyDescent="0.45">
      <c r="A20" s="34"/>
      <c r="B20" s="34"/>
      <c r="C20" s="34"/>
      <c r="D20" s="34"/>
      <c r="E20" s="34"/>
      <c r="F20" s="438" t="s">
        <v>902</v>
      </c>
      <c r="G20" s="439"/>
      <c r="H20" s="439"/>
      <c r="I20" s="439"/>
      <c r="J20" s="439"/>
      <c r="K20" s="439"/>
    </row>
    <row r="21" spans="1:14" x14ac:dyDescent="0.45">
      <c r="A21" s="34"/>
      <c r="B21" s="36" t="s">
        <v>23</v>
      </c>
      <c r="C21" s="162" t="str">
        <f>IF(COUNTIF(E27:E31,"🔴 YES")&gt;0,"🚨 OVERRIDE ACTIVO: "&amp;IF(C82&gt;=45,"🛡️ Score "&amp;C82&amp;" + Override → Cash +5%. Solo Core A+.","🔴 Score "&amp;C82&amp;" + Override → Máx protección. Cash 15-20%."),IF(C82&gt;=75,"⚠️ PRECAUCIÓN: Tomar beneficios (10-15%). Cash 8-12%."&amp;IF(E32="⚠️ WATCH"," ⚠️ 10Y Watch: solo Core A+.",""),IF(C82&gt;=60,"✅ NORMAL: Allocation según B1. Cash 5-8%."&amp;IF(E32="⚠️ WATCH"," ⚠️ 10Y Watch: solo Core A+.",""),IF(C82&gt;=45,"🛡️ DEFENSIVO: Subir calidad (B1≥80). Cash 10-12%."&amp;IF(E32="⚠️ WATCH"," ⚠️ 10Y Watch: solo Core A+.",""),IF(C82&gt;=35,"🔴 PROTECCIÓN + 1ª compra oportunista. Cash 12-18%.","🔴🟢 MÁX PROTECCIÓN + 2ª/3ª compra. Cash 15-20%.")))))</f>
        <v>🚨 OVERRIDE ACTIVO: 🔴 Score 44 + Override → Máx protección. Cash 15-20%.</v>
      </c>
      <c r="D21" s="162"/>
      <c r="E21" s="162"/>
      <c r="F21" s="438"/>
      <c r="G21" s="440"/>
      <c r="H21" s="440"/>
      <c r="I21" s="440"/>
      <c r="J21" s="440"/>
      <c r="K21" s="440"/>
    </row>
    <row r="22" spans="1:14" x14ac:dyDescent="0.45">
      <c r="A22" s="34"/>
      <c r="B22" s="34"/>
      <c r="C22" s="162">
        <v>10</v>
      </c>
      <c r="D22" s="162"/>
      <c r="E22" s="162"/>
      <c r="F22" s="438"/>
      <c r="G22" s="438"/>
      <c r="H22" s="438"/>
      <c r="I22" s="438"/>
      <c r="J22" s="438"/>
      <c r="K22" s="438"/>
    </row>
    <row r="23" spans="1:14" ht="16.899999999999999" x14ac:dyDescent="0.5">
      <c r="A23" s="98" t="s">
        <v>119</v>
      </c>
      <c r="B23" s="1"/>
      <c r="C23" s="1">
        <v>9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17.649999999999999" x14ac:dyDescent="0.5">
      <c r="A24" s="148" t="s">
        <v>120</v>
      </c>
      <c r="C24" s="149">
        <v>9</v>
      </c>
      <c r="D24" s="150" t="str">
        <f>IF(C24&lt;4,"🟢 EARLY REGIME ("&amp;C24&amp;" wks)",IF(C24&lt;26,"🟡 MID REGIME ("&amp;C24&amp;" wks)",IF(C24&lt;52,"⚠️ LATE REGIME ("&amp;C24&amp;" wks)","🔴 EXTENDED ("&amp;C24&amp;" wks)")))</f>
        <v>🟡 MID REGIME (9 wks)</v>
      </c>
      <c r="F24" s="151" t="str">
        <f>IF(C24&lt;4,"Opportunity window — New regime forming, conviction building",IF(C24&lt;26,"Normal positioning — Regime mature and reliable",IF(C24&lt;52,"Late cycle caution — Consider gradual profit-taking","Extended regime — Historically elevated reversal risk")))</f>
        <v>Normal positioning — Regime mature and reliable</v>
      </c>
    </row>
    <row r="25" spans="1:14" ht="16.899999999999999" x14ac:dyDescent="0.5">
      <c r="A25" s="454" t="s">
        <v>24</v>
      </c>
      <c r="B25" s="454"/>
      <c r="C25" s="454"/>
      <c r="D25" s="454"/>
      <c r="E25" s="454"/>
      <c r="F25" s="454"/>
      <c r="G25" s="454"/>
      <c r="H25" s="454"/>
      <c r="I25" s="454"/>
      <c r="J25" s="454"/>
      <c r="K25" s="454"/>
    </row>
    <row r="26" spans="1:14" x14ac:dyDescent="0.45">
      <c r="A26" s="37" t="s">
        <v>25</v>
      </c>
      <c r="B26" s="449" t="s">
        <v>26</v>
      </c>
      <c r="C26" s="449"/>
      <c r="D26" s="37" t="s">
        <v>27</v>
      </c>
      <c r="E26" s="37" t="s">
        <v>28</v>
      </c>
      <c r="F26" s="448" t="s">
        <v>29</v>
      </c>
      <c r="G26" s="448"/>
      <c r="H26" s="448"/>
      <c r="I26" s="448"/>
      <c r="J26" s="448"/>
      <c r="K26" s="448"/>
    </row>
    <row r="27" spans="1:14" x14ac:dyDescent="0.45">
      <c r="A27" s="38" t="s">
        <v>30</v>
      </c>
      <c r="B27" s="444" t="s">
        <v>131</v>
      </c>
      <c r="C27" s="444"/>
      <c r="D27" s="40">
        <v>26.78</v>
      </c>
      <c r="E27" s="41" t="str">
        <f>IF(C7&gt;25,"🔴 YES","✅ NO")</f>
        <v>🔴 YES</v>
      </c>
      <c r="F27" s="442" t="s">
        <v>31</v>
      </c>
      <c r="G27" s="442"/>
      <c r="H27" s="442"/>
      <c r="I27" s="442"/>
      <c r="J27" s="442"/>
      <c r="K27" s="442"/>
    </row>
    <row r="28" spans="1:14" x14ac:dyDescent="0.45">
      <c r="A28" s="42" t="s">
        <v>32</v>
      </c>
      <c r="B28" s="441" t="s">
        <v>33</v>
      </c>
      <c r="C28" s="441"/>
      <c r="D28" s="26" t="s">
        <v>903</v>
      </c>
      <c r="E28" s="23" t="str">
        <f>IF(C8&gt;400,"🔴 YES","✅ NO")</f>
        <v>✅ NO</v>
      </c>
      <c r="F28" s="443" t="s">
        <v>34</v>
      </c>
      <c r="G28" s="443"/>
      <c r="H28" s="443"/>
      <c r="I28" s="443"/>
      <c r="J28" s="443"/>
      <c r="K28" s="443"/>
    </row>
    <row r="29" spans="1:14" x14ac:dyDescent="0.45">
      <c r="A29" s="38" t="s">
        <v>35</v>
      </c>
      <c r="B29" s="444" t="s">
        <v>36</v>
      </c>
      <c r="C29" s="444"/>
      <c r="D29" s="40">
        <v>0.57999999999999996</v>
      </c>
      <c r="E29" s="41" t="str">
        <f>IF(C9&gt;1.2,"🔴 YES","✅ NO")</f>
        <v>✅ NO</v>
      </c>
      <c r="F29" s="442" t="s">
        <v>37</v>
      </c>
      <c r="G29" s="442"/>
      <c r="H29" s="442"/>
      <c r="I29" s="442"/>
      <c r="J29" s="442"/>
      <c r="K29" s="442"/>
    </row>
    <row r="30" spans="1:14" x14ac:dyDescent="0.45">
      <c r="A30" s="42" t="s">
        <v>38</v>
      </c>
      <c r="B30" s="441" t="s">
        <v>39</v>
      </c>
      <c r="C30" s="441"/>
      <c r="D30" s="44">
        <v>0.42</v>
      </c>
      <c r="E30" s="23" t="str">
        <f>IF(C10&lt;0.5,"🔴 YES","✅ NO")</f>
        <v>🔴 YES</v>
      </c>
      <c r="F30" s="443" t="s">
        <v>40</v>
      </c>
      <c r="G30" s="443"/>
      <c r="H30" s="443"/>
      <c r="I30" s="443"/>
      <c r="J30" s="443"/>
      <c r="K30" s="443"/>
    </row>
    <row r="31" spans="1:14" x14ac:dyDescent="0.45">
      <c r="A31" s="331" t="s">
        <v>887</v>
      </c>
      <c r="B31" s="333" t="s">
        <v>888</v>
      </c>
      <c r="D31" s="437">
        <v>98.23</v>
      </c>
      <c r="E31" s="430" t="str">
        <f>IF(C33&gt;=100,"🔴 YES","✅ NO")</f>
        <v>✅ NO</v>
      </c>
      <c r="F31" s="332" t="s">
        <v>889</v>
      </c>
      <c r="K31" s="323"/>
    </row>
    <row r="32" spans="1:14" x14ac:dyDescent="0.45">
      <c r="A32" s="426" t="s">
        <v>890</v>
      </c>
      <c r="B32" s="427" t="s">
        <v>891</v>
      </c>
      <c r="D32" s="429" t="s">
        <v>904</v>
      </c>
      <c r="E32" s="429" t="str">
        <f>IF(C35&gt;=5,"🔴 YES",IF(C35&gt;=4.5,"⚠️ WATCH","✅ NO"))</f>
        <v>✅ NO</v>
      </c>
      <c r="F32" s="395" t="s">
        <v>892</v>
      </c>
      <c r="K32" s="323"/>
    </row>
    <row r="33" spans="1:13" x14ac:dyDescent="0.45">
      <c r="A33" s="39"/>
      <c r="B33" s="334" t="s">
        <v>546</v>
      </c>
      <c r="C33" s="335">
        <v>98.23</v>
      </c>
      <c r="D33" s="336" t="s">
        <v>905</v>
      </c>
      <c r="E33" s="335">
        <v>63.5</v>
      </c>
      <c r="F33" s="337" t="str">
        <f>IF(C33&gt;E33,"↑ Rising","↓ Falling")</f>
        <v>↑ Rising</v>
      </c>
      <c r="K33" s="323"/>
    </row>
    <row r="34" spans="1:13" x14ac:dyDescent="0.45">
      <c r="A34" s="43"/>
      <c r="B34" s="338" t="s">
        <v>547</v>
      </c>
      <c r="C34" s="340">
        <v>99.5</v>
      </c>
      <c r="D34" s="339" t="s">
        <v>549</v>
      </c>
      <c r="E34" s="340">
        <v>96.5</v>
      </c>
      <c r="F34" s="341" t="str">
        <f>IF(C34&gt;E34,"↑ Rising","↓ Falling")</f>
        <v>↑ Rising</v>
      </c>
      <c r="K34" s="323"/>
    </row>
    <row r="35" spans="1:13" x14ac:dyDescent="0.45">
      <c r="A35" s="39"/>
      <c r="B35" s="334" t="s">
        <v>548</v>
      </c>
      <c r="C35" s="335">
        <v>4.3899999999999997</v>
      </c>
      <c r="D35" s="336" t="s">
        <v>549</v>
      </c>
      <c r="E35" s="335">
        <v>3.95</v>
      </c>
      <c r="F35" s="337" t="str">
        <f>IF(C35&gt;E35,"↑ Rising","↓ Falling")</f>
        <v>↑ Rising</v>
      </c>
      <c r="K35" s="323"/>
    </row>
    <row r="36" spans="1:13" x14ac:dyDescent="0.45">
      <c r="C36">
        <v>99.5</v>
      </c>
      <c r="E36">
        <v>96.5</v>
      </c>
    </row>
    <row r="37" spans="1:13" x14ac:dyDescent="0.45">
      <c r="C37">
        <v>4.3899999999999997</v>
      </c>
    </row>
    <row r="38" spans="1:13" x14ac:dyDescent="0.45">
      <c r="K38" t="s">
        <v>550</v>
      </c>
    </row>
    <row r="39" spans="1:13" ht="16.899999999999999" x14ac:dyDescent="0.5">
      <c r="A39" s="45" t="s">
        <v>47</v>
      </c>
      <c r="B39" s="46"/>
      <c r="C39" s="46"/>
      <c r="D39" s="46"/>
      <c r="E39" s="46"/>
      <c r="F39" s="46"/>
      <c r="G39" s="46"/>
      <c r="H39" s="46"/>
      <c r="I39" s="46"/>
      <c r="J39" s="47" t="s">
        <v>906</v>
      </c>
      <c r="K39" s="46" t="s">
        <v>906</v>
      </c>
    </row>
    <row r="40" spans="1:13" x14ac:dyDescent="0.45">
      <c r="A40" s="4" t="s">
        <v>41</v>
      </c>
      <c r="B40" s="3" t="s">
        <v>48</v>
      </c>
      <c r="C40" s="3" t="s">
        <v>49</v>
      </c>
      <c r="D40" s="3" t="s">
        <v>50</v>
      </c>
      <c r="E40" s="3" t="s">
        <v>51</v>
      </c>
      <c r="F40" s="3" t="s">
        <v>52</v>
      </c>
      <c r="G40" s="3" t="s">
        <v>53</v>
      </c>
      <c r="H40" s="3" t="s">
        <v>54</v>
      </c>
      <c r="I40" s="3" t="s">
        <v>55</v>
      </c>
      <c r="J40" s="3" t="s">
        <v>56</v>
      </c>
      <c r="K40" s="100" t="s">
        <v>116</v>
      </c>
      <c r="L40" s="100" t="s">
        <v>117</v>
      </c>
      <c r="M40" s="100" t="s">
        <v>118</v>
      </c>
    </row>
    <row r="41" spans="1:13" x14ac:dyDescent="0.45">
      <c r="A41" s="48" t="s">
        <v>57</v>
      </c>
      <c r="B41" s="49">
        <v>6506.48</v>
      </c>
      <c r="C41" s="50">
        <v>6806.41</v>
      </c>
      <c r="D41" s="51">
        <v>-5</v>
      </c>
      <c r="E41" s="51">
        <v>3</v>
      </c>
      <c r="F41" s="52">
        <f>ROUND(IF((B41-C41)/C41*100&lt;D41,0,IF((B41-C41)/C41*100&gt;E41,100,((B41-C41)/C41*100-D41)/(E41-D41)*100)),0)</f>
        <v>7</v>
      </c>
      <c r="G41" s="53">
        <v>0.22</v>
      </c>
      <c r="H41" s="54">
        <f t="shared" ref="H41:H46" si="0">ROUND(F41*G41,1)</f>
        <v>1.5</v>
      </c>
      <c r="I41" s="55" t="str">
        <f>IF(F41&gt;=70,"✅ Bullish",IF(F41&gt;=40,"⚠️ Neutral","🔴 Bearish"))</f>
        <v>🔴 Bearish</v>
      </c>
      <c r="J41" s="56" t="str">
        <f>IF(B41&gt;C41,"Price ABOVE MA200 (+"&amp;TEXT((B41-C41)/C41,"0.0%")&amp;")","Price BELOW MA200 ("&amp;TEXT((B41-C41)/C41,"0.0%")&amp;")")</f>
        <v>Price BELOW MA200 (-04%)</v>
      </c>
      <c r="K41" s="145">
        <v>6716.09</v>
      </c>
      <c r="L41" s="111">
        <f t="shared" ref="L41:L46" si="1">IF(K41="","",B41-K41)</f>
        <v>-209.61000000000058</v>
      </c>
      <c r="M41" s="142" t="str">
        <f>IF(L41="","⏳ Awaiting data",IF(ABS(L41)&lt;10,"→ Stable",IF(L41&gt;0,"↗ Improving","↘ Deteriorating")))</f>
        <v>↘ Deteriorating</v>
      </c>
    </row>
    <row r="42" spans="1:13" x14ac:dyDescent="0.45">
      <c r="A42" s="58" t="s">
        <v>58</v>
      </c>
      <c r="B42" s="49">
        <v>6506.48</v>
      </c>
      <c r="C42" s="60">
        <v>6655.67</v>
      </c>
      <c r="D42" s="61">
        <v>-3</v>
      </c>
      <c r="E42" s="61">
        <v>2</v>
      </c>
      <c r="F42" s="62">
        <f>ROUND(IF((B42-C42)/C42*100&lt;D42,0,IF((B42-C42)/C42*100&gt;E42,100,((B42-C42)/C42*100-D42)/(E42-D42)*100)),0)</f>
        <v>15</v>
      </c>
      <c r="G42" s="53">
        <v>0.2</v>
      </c>
      <c r="H42" s="63">
        <f t="shared" si="0"/>
        <v>3</v>
      </c>
      <c r="I42" s="64" t="str">
        <f>IF(F42&gt;=70,"✅ Bullish",IF(F42&gt;=40,"⚠️ Neutral","🔴 Bearish"))</f>
        <v>🔴 Bearish</v>
      </c>
      <c r="J42" s="65" t="str">
        <f>IF(B42&gt;C42,"Price ABOVE MA50 (+"&amp;TEXT((B42-C42)/C42,"0.0%")&amp;")","Price BELOW MA50 ("&amp;TEXT((B42-C42)/C42,"0.0%")&amp;")")</f>
        <v>Price BELOW MA50 (-02%)</v>
      </c>
      <c r="K42" s="145">
        <v>6716.09</v>
      </c>
      <c r="L42" s="121">
        <f t="shared" si="1"/>
        <v>-209.61000000000058</v>
      </c>
      <c r="M42" s="163" t="str">
        <f>IF(L42="","⏳ Awaiting data",IF(ABS(L42)&lt;10,"→ Stable",IF(L42&gt;0,"↗ Improving","↘ Deteriorating")))</f>
        <v>↘ Deteriorating</v>
      </c>
    </row>
    <row r="43" spans="1:13" x14ac:dyDescent="0.45">
      <c r="A43" s="48" t="s">
        <v>59</v>
      </c>
      <c r="B43" s="50">
        <v>6655.67</v>
      </c>
      <c r="C43" s="50">
        <v>6806.41</v>
      </c>
      <c r="D43" s="66" t="s">
        <v>60</v>
      </c>
      <c r="E43" s="66" t="s">
        <v>61</v>
      </c>
      <c r="F43" s="52">
        <f>IF(B43&lt;C43,0,100)</f>
        <v>0</v>
      </c>
      <c r="G43" s="53">
        <v>0.1</v>
      </c>
      <c r="H43" s="54">
        <f t="shared" si="0"/>
        <v>0</v>
      </c>
      <c r="I43" s="55" t="str">
        <f>IF(B43&gt;C43,"✅ Golden Cross","🔴 Death Cross")</f>
        <v>🔴 Death Cross</v>
      </c>
      <c r="J43" s="56" t="str">
        <f>IF(B43&gt;C43,"MA50 above MA200 — Bullish trend","MA50 below MA200 — Bearish trend")</f>
        <v>MA50 below MA200 — Bearish trend</v>
      </c>
      <c r="K43" s="145">
        <v>6746.03</v>
      </c>
      <c r="L43" s="111">
        <f t="shared" si="1"/>
        <v>-90.359999999999673</v>
      </c>
      <c r="M43" s="142" t="str">
        <f>IF(L43="","⏳ Awaiting data",IF(L43&gt;0,"↗ Improving",IF(L43&lt;0,"↘ Deteriorating","→ Stable")))</f>
        <v>↘ Deteriorating</v>
      </c>
    </row>
    <row r="44" spans="1:13" x14ac:dyDescent="0.45">
      <c r="A44" s="58" t="s">
        <v>62</v>
      </c>
      <c r="B44" s="67">
        <v>23.34</v>
      </c>
      <c r="C44" s="68">
        <v>50</v>
      </c>
      <c r="D44" s="68">
        <v>30</v>
      </c>
      <c r="E44" s="68">
        <v>70</v>
      </c>
      <c r="F44" s="62">
        <f>ROUND(IF(B44&lt;D44,0,IF(B44&gt;E44,100,IF(B44&lt;C44,(B44-D44)/(C44-D44)*50,(B44-C44)/(E44-C44)*50+50))),0)</f>
        <v>0</v>
      </c>
      <c r="G44" s="53">
        <v>0.2</v>
      </c>
      <c r="H44" s="63">
        <f t="shared" si="0"/>
        <v>0</v>
      </c>
      <c r="I44" s="64" t="str">
        <f>IF(B44&gt;=70,"🔴 Overbought",IF(B44&lt;=30,"🔴 Oversold",IF(B44&gt;=55,"✅ Bullish",IF(B44&lt;=45,"⚠️ Weakening","⚠️ Neutral"))))</f>
        <v>🔴 Oversold</v>
      </c>
      <c r="J44" s="65" t="str">
        <f>IF(B44&gt;=70,"Overbought — Reversal risk",IF(B44&lt;=30,"Oversold — Bounce expected",IF(B44&gt;=55,"Momentum favors bulls",IF(B44&lt;=45,"Momentum weakening","Neutral — No clear edge"))))</f>
        <v>Oversold — Bounce expected</v>
      </c>
      <c r="K44" s="145">
        <v>48.85</v>
      </c>
      <c r="L44" s="121">
        <f t="shared" si="1"/>
        <v>-25.51</v>
      </c>
      <c r="M44" s="163" t="str">
        <f>IF(L44="","⏳ Awaiting data",IF(ABS(L44)&lt;2,"→ Stable",IF(L44&gt;0,"↗ Improving","↘ Deteriorating")))</f>
        <v>↘ Deteriorating</v>
      </c>
    </row>
    <row r="45" spans="1:13" x14ac:dyDescent="0.45">
      <c r="A45" s="48" t="s">
        <v>63</v>
      </c>
      <c r="B45" s="67">
        <v>-39.43</v>
      </c>
      <c r="C45" s="69">
        <v>0</v>
      </c>
      <c r="D45" s="69">
        <v>-50</v>
      </c>
      <c r="E45" s="69">
        <v>50</v>
      </c>
      <c r="F45" s="52">
        <f>ROUND(IF(B45&lt;D45,0,IF(B45&gt;E45,100,(B45-D45)/(E45-D45)*100)),0)</f>
        <v>11</v>
      </c>
      <c r="G45" s="53">
        <v>0.2</v>
      </c>
      <c r="H45" s="54">
        <f t="shared" si="0"/>
        <v>2.2000000000000002</v>
      </c>
      <c r="I45" s="55" t="str">
        <f>IF(B45&gt;0,IF(B45&gt;C45,"✅ Bullish","⚠️ Weakening"),IF(B45&lt;C45,"🔴 Bearish","⚠️ Recovering"))</f>
        <v>🔴 Bearish</v>
      </c>
      <c r="J45" s="56" t="str">
        <f>IF(B45&gt;0,"MACD positive — Bullish momentum","MACD negative — Bearish momentum")</f>
        <v>MACD negative — Bearish momentum</v>
      </c>
      <c r="K45" s="145">
        <v>-8.6300000000000008</v>
      </c>
      <c r="L45" s="111">
        <f t="shared" si="1"/>
        <v>-30.799999999999997</v>
      </c>
      <c r="M45" s="142" t="str">
        <f>IF(L45="","⏳ Awaiting data",IF(ABS(L45)&lt;3,"→ Stable",IF(L45&gt;0,"↗ Improving","↘ Deteriorating")))</f>
        <v>↘ Deteriorating</v>
      </c>
    </row>
    <row r="46" spans="1:13" x14ac:dyDescent="0.45">
      <c r="A46" s="58" t="s">
        <v>64</v>
      </c>
      <c r="B46" s="67">
        <v>140</v>
      </c>
      <c r="C46" s="68">
        <v>130</v>
      </c>
      <c r="D46" s="68">
        <v>155</v>
      </c>
      <c r="E46" s="68">
        <v>120</v>
      </c>
      <c r="F46" s="62">
        <f>ROUND(IF(B46&gt;D46,0,IF(B46&lt;E46,100,(D46-B46)/(D46-E46)*100)),0)</f>
        <v>43</v>
      </c>
      <c r="G46" s="53">
        <v>0.08</v>
      </c>
      <c r="H46" s="63">
        <f t="shared" si="0"/>
        <v>3.4</v>
      </c>
      <c r="I46" s="64" t="str">
        <f>IF(B46&gt;=155,"🔴 Tail Risk",IF(B46&gt;=145,"⚠️ Elevated",IF(B46&lt;=120,"✅ Low Risk","✅ Normal")))</f>
        <v>✅ Normal</v>
      </c>
      <c r="J46" s="65" t="str">
        <f>IF(B46&gt;=155,"Extreme tail risk — Protect portfolio",IF(B46&gt;=145,"Elevated skew — Monitor closely",IF(B46&lt;=120,"Low tail risk — Risk-on","Normal range — No concern")))</f>
        <v>Normal range — No concern</v>
      </c>
      <c r="K46" s="145">
        <v>140</v>
      </c>
      <c r="L46" s="121">
        <f t="shared" si="1"/>
        <v>0</v>
      </c>
      <c r="M46" s="163" t="str">
        <f>IF(L46="","⏳ Awaiting data",IF(ABS(L46)&lt;3,"→ Stable",IF(L46&lt;0,"↗ Improving","↘ Deteriorating")))</f>
        <v>→ Stable</v>
      </c>
    </row>
    <row r="47" spans="1:13" ht="17.649999999999999" x14ac:dyDescent="0.5">
      <c r="A47" s="70" t="s">
        <v>65</v>
      </c>
      <c r="B47" s="46"/>
      <c r="C47" s="46"/>
      <c r="D47" s="46"/>
      <c r="E47" s="46"/>
      <c r="F47" s="71">
        <f>ROUND(SUM(H41:H46),0)</f>
        <v>10</v>
      </c>
      <c r="G47" s="46"/>
      <c r="H47" s="72">
        <f>ROUND(SUM(H41:H46),1)</f>
        <v>10.1</v>
      </c>
      <c r="I47" s="73" t="str">
        <f>IF(F47&gt;=70,"✅ Bullish",IF(F47&gt;=45,"⚠️ Mixed","🔴 Bearish"))</f>
        <v>🔴 Bearish</v>
      </c>
      <c r="J47" s="74" t="str">
        <f>F47&amp;" / 100"</f>
        <v>10 / 100</v>
      </c>
      <c r="K47" s="46"/>
    </row>
    <row r="49" spans="1:14" ht="15.4" x14ac:dyDescent="0.45">
      <c r="A49" s="75" t="s">
        <v>66</v>
      </c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4" ht="16.899999999999999" x14ac:dyDescent="0.5">
      <c r="A50" s="76" t="s">
        <v>67</v>
      </c>
      <c r="B50" s="43"/>
      <c r="C50" s="77" t="str">
        <f>IF(F47&gt;=70,"✅ STRONG UPTREND",IF(F47&gt;=55,"✅ UPTREND (Moderate)",IF(F47&gt;=45,"⚠️ SIDEWAYS / CHOPPY",IF(F47&gt;=30,"⚠️ DOWNTREND (Moderate)","🔴 STRONG DOWNTREND"))))</f>
        <v>🔴 STRONG DOWNTREND</v>
      </c>
      <c r="D50" s="39"/>
      <c r="E50" s="39"/>
      <c r="F50" s="39"/>
      <c r="G50" s="43"/>
      <c r="H50" s="78" t="s">
        <v>68</v>
      </c>
      <c r="I50" s="78" t="s">
        <v>69</v>
      </c>
      <c r="J50" s="43"/>
      <c r="K50" s="43"/>
    </row>
    <row r="51" spans="1:14" x14ac:dyDescent="0.45">
      <c r="A51" s="79" t="s">
        <v>70</v>
      </c>
      <c r="B51" s="43"/>
      <c r="C51" s="59" t="str">
        <f>IF(F47&gt;=70,"Strong bullish technicals — Full risk-on positioning",IF(F47&gt;=55,"Moderately bullish — Favor long positions",IF(F47&gt;=45,"No clear trend — Reduce position sizes",IF(F47&gt;=30,"Moderately bearish — Defensive positioning","Strong bearish technicals — Hedge / raise cash"))))</f>
        <v>Strong bearish technicals — Hedge / raise cash</v>
      </c>
      <c r="D51" s="43"/>
      <c r="E51" s="43"/>
      <c r="F51" s="43"/>
      <c r="G51" s="43"/>
      <c r="H51" s="80" t="s">
        <v>71</v>
      </c>
      <c r="I51" s="81" t="s">
        <v>72</v>
      </c>
      <c r="J51" s="43"/>
      <c r="K51" s="43"/>
    </row>
    <row r="52" spans="1:14" x14ac:dyDescent="0.45">
      <c r="A52" s="43"/>
      <c r="B52" s="43"/>
      <c r="C52" s="43"/>
      <c r="D52" s="43"/>
      <c r="E52" s="43"/>
      <c r="F52" s="43"/>
      <c r="G52" s="43"/>
      <c r="H52" s="80" t="s">
        <v>73</v>
      </c>
      <c r="I52" s="82" t="s">
        <v>74</v>
      </c>
      <c r="J52" s="43"/>
      <c r="K52" s="43"/>
    </row>
    <row r="53" spans="1:14" x14ac:dyDescent="0.45">
      <c r="K53" t="s">
        <v>906</v>
      </c>
    </row>
    <row r="54" spans="1:14" ht="16.899999999999999" x14ac:dyDescent="0.5">
      <c r="A54" s="98" t="s">
        <v>115</v>
      </c>
      <c r="B54" s="1"/>
      <c r="C54" s="1"/>
      <c r="D54" s="1"/>
      <c r="E54" s="1"/>
      <c r="F54" s="1"/>
      <c r="G54" s="1"/>
      <c r="H54" s="1"/>
      <c r="I54" s="1"/>
      <c r="J54" s="1"/>
      <c r="K54" s="99" t="s">
        <v>906</v>
      </c>
    </row>
    <row r="55" spans="1:14" x14ac:dyDescent="0.45">
      <c r="A55" s="100" t="s">
        <v>2</v>
      </c>
      <c r="B55" s="101" t="s">
        <v>3</v>
      </c>
      <c r="C55" s="100" t="s">
        <v>4</v>
      </c>
      <c r="D55" s="100" t="s">
        <v>5</v>
      </c>
      <c r="E55" s="100" t="s">
        <v>6</v>
      </c>
      <c r="F55" s="100" t="s">
        <v>7</v>
      </c>
      <c r="G55" s="100" t="s">
        <v>8</v>
      </c>
      <c r="H55" s="100" t="s">
        <v>9</v>
      </c>
      <c r="I55" s="100" t="s">
        <v>10</v>
      </c>
      <c r="J55" s="100" t="s">
        <v>11</v>
      </c>
      <c r="K55" s="100" t="s">
        <v>12</v>
      </c>
      <c r="L55" s="100" t="s">
        <v>116</v>
      </c>
      <c r="M55" s="100" t="s">
        <v>117</v>
      </c>
      <c r="N55" s="100" t="s">
        <v>118</v>
      </c>
    </row>
    <row r="56" spans="1:14" x14ac:dyDescent="0.45">
      <c r="A56" s="102">
        <v>1</v>
      </c>
      <c r="B56" s="103" t="s">
        <v>86</v>
      </c>
      <c r="C56" s="104">
        <v>4.2900000000000001E-2</v>
      </c>
      <c r="D56" s="105" t="s">
        <v>87</v>
      </c>
      <c r="E56" s="106" t="s">
        <v>88</v>
      </c>
      <c r="F56" s="107" t="s">
        <v>89</v>
      </c>
      <c r="G56" s="108" t="s">
        <v>18</v>
      </c>
      <c r="H56" s="109" t="str">
        <f>IF(C56&gt;0.05,"✅ Risk-On",IF(C56&gt;=0.02,"⚠️ Neutral","🔴 Risk-Off"))</f>
        <v>⚠️ Neutral</v>
      </c>
      <c r="I56" s="110">
        <f>IF(C56&gt;0.05,ROUND(80+((C56-0.05)/0.05)*20,0),IF(C56&gt;=0.02,ROUND(40+((C56-0.02)/0.03)*40,0),ROUND(MAX(0,(C56/0.02)*40),0)))</f>
        <v>71</v>
      </c>
      <c r="J56" s="102">
        <v>0.15</v>
      </c>
      <c r="K56" s="111">
        <f t="shared" ref="K56:K61" si="2">I56*J56</f>
        <v>10.65</v>
      </c>
      <c r="L56" s="145">
        <v>4.2900000000000001E-2</v>
      </c>
      <c r="M56" s="111">
        <f t="shared" ref="M56:M61" si="3">IF(L56="","",C56-L56)</f>
        <v>0</v>
      </c>
      <c r="N56" s="142" t="str">
        <f>IF(M56="","⏳ Awaiting data",IF(ABS(M56)&lt;0.002,"→ Stable",IF(M56&gt;0,"↗ Improving","↘ Deteriorating")))</f>
        <v>→ Stable</v>
      </c>
    </row>
    <row r="57" spans="1:14" x14ac:dyDescent="0.45">
      <c r="A57" s="112">
        <v>2</v>
      </c>
      <c r="B57" s="113" t="s">
        <v>90</v>
      </c>
      <c r="C57" s="114">
        <v>6.61</v>
      </c>
      <c r="D57" s="115" t="s">
        <v>91</v>
      </c>
      <c r="E57" s="116" t="s">
        <v>92</v>
      </c>
      <c r="F57" s="117" t="s">
        <v>93</v>
      </c>
      <c r="G57" s="118" t="s">
        <v>18</v>
      </c>
      <c r="H57" s="119" t="str">
        <f>IF(C57&gt;7,"✅ Risk-On",IF(C57&gt;=6,"⚠️ Neutral","🔴 Risk-Off"))</f>
        <v>⚠️ Neutral</v>
      </c>
      <c r="I57" s="120">
        <f>IF(C57&gt;7,ROUND(80+((C57-7)/1)*20,0),IF(C57&gt;=6,ROUND(40+((C57-6)/1)*40,0),ROUND(MAX(0,(C57/6)*40),0)))</f>
        <v>64</v>
      </c>
      <c r="J57" s="112">
        <v>0.1</v>
      </c>
      <c r="K57" s="121">
        <f t="shared" si="2"/>
        <v>6.4</v>
      </c>
      <c r="L57" s="145">
        <v>6.61</v>
      </c>
      <c r="M57" s="121">
        <f t="shared" si="3"/>
        <v>0</v>
      </c>
      <c r="N57" s="163" t="str">
        <f>IF(M57="","⏳ Awaiting data",IF(ABS(M57)&lt;0.05,"→ Stable",IF(M57&gt;0,"↗ Improving","↘ Deteriorating")))</f>
        <v>→ Stable</v>
      </c>
    </row>
    <row r="58" spans="1:14" x14ac:dyDescent="0.45">
      <c r="A58" s="102">
        <v>3</v>
      </c>
      <c r="B58" s="103" t="s">
        <v>94</v>
      </c>
      <c r="C58" s="104">
        <v>-2.8000000000000001E-2</v>
      </c>
      <c r="D58" s="105" t="s">
        <v>95</v>
      </c>
      <c r="E58" s="106" t="s">
        <v>96</v>
      </c>
      <c r="F58" s="107" t="s">
        <v>97</v>
      </c>
      <c r="G58" s="108" t="s">
        <v>18</v>
      </c>
      <c r="H58" s="109" t="str">
        <f>IF(C58&gt;0,"✅ Risk-On",IF(C58&gt;=-0.05,"⚠️ Neutral","🔴 Risk-Off"))</f>
        <v>⚠️ Neutral</v>
      </c>
      <c r="I58" s="110">
        <f>IF(C58&gt;0,ROUND(80+MIN((C58/0.05)*20,20),0),IF(C58&gt;=-0.05,ROUND(40+((C58+0.05)/0.05)*40,0),ROUND(MAX(0,(C58+0.1)/0.05*40),0)))</f>
        <v>58</v>
      </c>
      <c r="J58" s="102">
        <v>0.1</v>
      </c>
      <c r="K58" s="111">
        <f t="shared" si="2"/>
        <v>5.8000000000000007</v>
      </c>
      <c r="L58" s="145">
        <v>-2.8000000000000001E-2</v>
      </c>
      <c r="M58" s="111">
        <f t="shared" si="3"/>
        <v>0</v>
      </c>
      <c r="N58" s="142" t="str">
        <f>IF(M58="","⏳ Awaiting data",IF(ABS(M58)&lt;0.005,"→ Stable",IF(M58&gt;0,"↗ Improving","↘ Deteriorating")))</f>
        <v>→ Stable</v>
      </c>
    </row>
    <row r="59" spans="1:14" x14ac:dyDescent="0.45">
      <c r="A59" s="112">
        <v>4</v>
      </c>
      <c r="B59" s="113" t="s">
        <v>98</v>
      </c>
      <c r="C59" s="124">
        <v>3.625</v>
      </c>
      <c r="D59" s="115" t="s">
        <v>99</v>
      </c>
      <c r="E59" s="116" t="s">
        <v>100</v>
      </c>
      <c r="F59" s="117" t="s">
        <v>87</v>
      </c>
      <c r="G59" s="118" t="s">
        <v>14</v>
      </c>
      <c r="H59" s="119" t="str">
        <f>IF(C59&lt;3,"✅ Risk-On",IF(C59&lt;=5,"⚠️ Neutral","🔴 Risk-Off"))</f>
        <v>⚠️ Neutral</v>
      </c>
      <c r="I59" s="120">
        <f>IF(C59&lt;3,ROUND(80+((3-C59)/3)*20,0),IF(C59&lt;=5,ROUND(40+((5-C59)/2)*40,0),ROUND(MAX(0,(7-C59)/2*40),0)))</f>
        <v>68</v>
      </c>
      <c r="J59" s="112">
        <v>0.1</v>
      </c>
      <c r="K59" s="121">
        <f t="shared" si="2"/>
        <v>6.8000000000000007</v>
      </c>
      <c r="L59" s="145">
        <v>3.625</v>
      </c>
      <c r="M59" s="121">
        <f t="shared" si="3"/>
        <v>0</v>
      </c>
      <c r="N59" s="163" t="str">
        <f>IF(M59="","⏳ Awaiting data",IF(ABS(M59)&lt;0.125,"→ Stable",IF(M59&lt;0,"↗ Improving","↘ Deteriorating")))</f>
        <v>→ Stable</v>
      </c>
    </row>
    <row r="60" spans="1:14" x14ac:dyDescent="0.45">
      <c r="A60" s="102">
        <v>5</v>
      </c>
      <c r="B60" s="103" t="s">
        <v>101</v>
      </c>
      <c r="C60" s="122">
        <v>6</v>
      </c>
      <c r="D60" s="105" t="s">
        <v>102</v>
      </c>
      <c r="E60" s="106" t="s">
        <v>103</v>
      </c>
      <c r="F60" s="107" t="s">
        <v>104</v>
      </c>
      <c r="G60" s="108" t="s">
        <v>14</v>
      </c>
      <c r="H60" s="109" t="str">
        <f>IF(C60&lt;200,"✅ Risk-On",IF(C60&lt;=1000,"⚠️ Neutral","🔴 Risk-Off"))</f>
        <v>✅ Risk-On</v>
      </c>
      <c r="I60" s="110">
        <f>IF(C60&lt;200,ROUND(80+((200-C60)/200)*20,0),IF(C60&lt;=1000,ROUND(40+((1000-C60)/800)*40,0),ROUND(MAX(0,(2000-C60)/1000*40),0)))</f>
        <v>99</v>
      </c>
      <c r="J60" s="102">
        <v>0.1</v>
      </c>
      <c r="K60" s="111">
        <f t="shared" si="2"/>
        <v>9.9</v>
      </c>
      <c r="L60" s="145">
        <v>6</v>
      </c>
      <c r="M60" s="111">
        <f t="shared" si="3"/>
        <v>0</v>
      </c>
      <c r="N60" s="142" t="str">
        <f>IF(M60="","⏳ Awaiting data",IF(ABS(M60)&lt;50,"→ Stable",IF(M60&lt;0,"↗ Improving","↘ Deteriorating")))</f>
        <v>→ Stable</v>
      </c>
    </row>
    <row r="61" spans="1:14" x14ac:dyDescent="0.45">
      <c r="A61" s="112">
        <v>6</v>
      </c>
      <c r="B61" s="113" t="s">
        <v>105</v>
      </c>
      <c r="C61" s="123">
        <v>5665</v>
      </c>
      <c r="D61" s="115" t="s">
        <v>106</v>
      </c>
      <c r="E61" s="116" t="s">
        <v>107</v>
      </c>
      <c r="F61" s="117" t="s">
        <v>108</v>
      </c>
      <c r="G61" s="118" t="s">
        <v>18</v>
      </c>
      <c r="H61" s="119" t="str">
        <f>IF(C61&gt;6000,"✅ Risk-On",IF(C61&gt;=5000,"⚠️ Neutral","🔴 Risk-Off"))</f>
        <v>⚠️ Neutral</v>
      </c>
      <c r="I61" s="120">
        <f>IF(C61&gt;6000,ROUND(80+((C61-6000)/1000)*20,0),IF(C61&gt;=5000,ROUND(40+((C61-5000)/1000)*40,0),ROUND(MAX(0,(C61/5000)*40),0)))</f>
        <v>67</v>
      </c>
      <c r="J61" s="112">
        <v>0.15</v>
      </c>
      <c r="K61" s="121">
        <f t="shared" si="2"/>
        <v>10.049999999999999</v>
      </c>
      <c r="L61" s="145">
        <v>5665</v>
      </c>
      <c r="M61" s="121">
        <f t="shared" si="3"/>
        <v>0</v>
      </c>
      <c r="N61" s="163" t="str">
        <f>IF(M61="","⏳ Awaiting data",IF(ABS(M61)&lt;50,"→ Stable",IF(M61&gt;0,"↗ Improving","↘ Deteriorating")))</f>
        <v>→ Stable</v>
      </c>
    </row>
    <row r="62" spans="1:14" x14ac:dyDescent="0.45">
      <c r="A62" s="102">
        <v>7</v>
      </c>
      <c r="B62" s="103" t="s">
        <v>437</v>
      </c>
      <c r="C62" s="122">
        <v>0.51</v>
      </c>
      <c r="D62" s="105" t="s">
        <v>438</v>
      </c>
      <c r="E62" s="106" t="s">
        <v>439</v>
      </c>
      <c r="F62" s="107" t="s">
        <v>440</v>
      </c>
      <c r="G62" s="108" t="s">
        <v>18</v>
      </c>
      <c r="H62" s="109" t="str">
        <f>IF(C62&gt;1,"✅ Risk-On",IF(C62&gt;=0,"⚠️ Neutral","🔴 Risk-Off"))</f>
        <v>⚠️ Neutral</v>
      </c>
      <c r="I62" s="110">
        <f>IF(C62&gt;1,ROUND(80+MIN(((C62-1)/1)*20,20),0),IF(C62&gt;=0,ROUND(40+(C62/1)*40,0),ROUND(MAX(0,(C62+1)/1*40),0)))</f>
        <v>60</v>
      </c>
      <c r="J62" s="102">
        <v>0.1</v>
      </c>
      <c r="K62" s="111">
        <f>I62*J62</f>
        <v>6</v>
      </c>
      <c r="L62" s="145">
        <v>0.51</v>
      </c>
      <c r="M62" s="111">
        <f>IF(L62="","",C62-L62)</f>
        <v>0</v>
      </c>
      <c r="N62" s="142" t="str">
        <f>IF(M62="","⏳ Awaiting data",IF(ABS(M62)&lt;0.05,"→ Stable",IF(M62&gt;0,"↗ Improving","↘ Deteriorating")))</f>
        <v>→ Stable</v>
      </c>
    </row>
    <row r="63" spans="1:14" x14ac:dyDescent="0.45">
      <c r="A63" s="112">
        <v>8</v>
      </c>
      <c r="B63" s="113" t="s">
        <v>441</v>
      </c>
      <c r="C63" s="123">
        <v>5</v>
      </c>
      <c r="D63" s="115" t="s">
        <v>442</v>
      </c>
      <c r="E63" s="116" t="s">
        <v>443</v>
      </c>
      <c r="F63" s="117" t="s">
        <v>444</v>
      </c>
      <c r="G63" s="118" t="s">
        <v>14</v>
      </c>
      <c r="H63" s="119" t="str">
        <f>IF(C63&lt;10,"✅ Risk-On",IF(C63&lt;=50,"⚠️ Neutral","🔴 Risk-Off"))</f>
        <v>✅ Risk-On</v>
      </c>
      <c r="I63" s="120">
        <f>IF(C63&lt;10,ROUND(80+((10-C63)/10)*20,0),IF(C63&lt;=50,ROUND(40+((50-C63)/40)*40,0),ROUND(MAX(0,(100-C63)/50*40),0)))</f>
        <v>90</v>
      </c>
      <c r="J63" s="112">
        <v>0</v>
      </c>
      <c r="K63" s="121">
        <f>I63*J63</f>
        <v>0</v>
      </c>
      <c r="L63" s="145">
        <v>5</v>
      </c>
      <c r="M63" s="121">
        <f>IF(L63="","",C63-L63)</f>
        <v>0</v>
      </c>
      <c r="N63" s="163" t="str">
        <f>IF(M63="","⏳ Awaiting data",IF(ABS(M63)&lt;2,"→ Stable",IF(M63&lt;0,"↗ Improving","↘ Deteriorating")))</f>
        <v>→ Stable</v>
      </c>
    </row>
    <row r="64" spans="1:14" x14ac:dyDescent="0.45">
      <c r="A64" s="102">
        <v>9</v>
      </c>
      <c r="B64" s="103" t="s">
        <v>445</v>
      </c>
      <c r="C64" s="122">
        <v>99.5</v>
      </c>
      <c r="D64" s="105" t="s">
        <v>446</v>
      </c>
      <c r="E64" s="106" t="s">
        <v>447</v>
      </c>
      <c r="F64" s="107" t="s">
        <v>448</v>
      </c>
      <c r="G64" s="108" t="s">
        <v>14</v>
      </c>
      <c r="H64" s="109" t="str">
        <f>IF(C64&lt;95,"✅ Risk-On",IF(C64&lt;=105,"⚠️ Neutral","🔴 Risk-Off"))</f>
        <v>⚠️ Neutral</v>
      </c>
      <c r="I64" s="110">
        <f>IF(C64&lt;95,ROUND(80+((95-C64)/10)*20,0),IF(C64&lt;=105,ROUND(40+((105-C64)/10)*40,0),ROUND(MAX(0,(115-C64)/10*40),0)))</f>
        <v>62</v>
      </c>
      <c r="J64" s="102">
        <v>0.1</v>
      </c>
      <c r="K64" s="111">
        <f>I64*J64</f>
        <v>6.2</v>
      </c>
      <c r="L64" s="145">
        <v>99.5</v>
      </c>
      <c r="M64" s="111">
        <f>IF(L64="","",C64-L64)</f>
        <v>0</v>
      </c>
      <c r="N64" s="142" t="str">
        <f>IF(M64="","⏳ Awaiting data",IF(ABS(M64)&lt;0.5,"→ Stable",IF(M64&lt;0,"↗ Improving","↘ Deteriorating")))</f>
        <v>→ Stable</v>
      </c>
    </row>
    <row r="65" spans="1:14" x14ac:dyDescent="0.45">
      <c r="A65" s="112">
        <v>10</v>
      </c>
      <c r="B65" s="113" t="s">
        <v>449</v>
      </c>
      <c r="C65" s="123">
        <v>0.71099999999999997</v>
      </c>
      <c r="D65" s="115" t="s">
        <v>450</v>
      </c>
      <c r="E65" s="116" t="s">
        <v>451</v>
      </c>
      <c r="F65" s="117" t="s">
        <v>452</v>
      </c>
      <c r="G65" s="118" t="s">
        <v>14</v>
      </c>
      <c r="H65" s="119" t="str">
        <f>IF(C65&lt;0.4,"✅ Risk-On",IF(C65&lt;=0.8,"⚠️ Neutral","🔴 Risk-Off"))</f>
        <v>⚠️ Neutral</v>
      </c>
      <c r="I65" s="120">
        <f>IF(C65&lt;0.4,ROUND(80+((0.4-C65)/0.4)*20,0),IF(C65&lt;=0.8,ROUND(40+((0.8-C65)/0.4)*40,0),ROUND(MAX(0,(1.2-C65)/0.4*40),0)))</f>
        <v>49</v>
      </c>
      <c r="J65" s="112">
        <v>0.05</v>
      </c>
      <c r="K65" s="121">
        <f>I65*J65</f>
        <v>2.4500000000000002</v>
      </c>
      <c r="L65" s="145">
        <v>0.746</v>
      </c>
      <c r="M65" s="121">
        <f>IF(L65="","",C65-L65)</f>
        <v>-3.5000000000000031E-2</v>
      </c>
      <c r="N65" s="163" t="str">
        <f>IF(M65="","⏳ Awaiting data",IF(ABS(M65)&lt;0.02,"→ Stable",IF(M65&lt;0,"↗ Improving","↘ Deteriorating")))</f>
        <v>↗ Improving</v>
      </c>
    </row>
    <row r="66" spans="1:14" x14ac:dyDescent="0.45">
      <c r="A66" s="112">
        <v>11</v>
      </c>
      <c r="B66" s="113" t="s">
        <v>571</v>
      </c>
      <c r="C66" s="123">
        <v>109</v>
      </c>
      <c r="D66" s="115" t="s">
        <v>572</v>
      </c>
      <c r="E66" s="116" t="s">
        <v>573</v>
      </c>
      <c r="F66" s="117" t="s">
        <v>574</v>
      </c>
      <c r="G66" s="118" t="s">
        <v>14</v>
      </c>
      <c r="H66" s="119" t="str">
        <f>IF(C66&lt;60,"✅ Risk-On",IF(C66&lt;=100,"⚠️ Neutral","🔴 Risk-Off"))</f>
        <v>🔴 Risk-Off</v>
      </c>
      <c r="I66" s="120">
        <f>ROUND(MAX(0,MIN(100, IF(C66&lt;=60,100, IF(C66&gt;=120,0, 100-(C66-60)/(120-60)*100)))),0)</f>
        <v>18</v>
      </c>
      <c r="J66" s="112">
        <v>0.05</v>
      </c>
      <c r="K66" s="121">
        <f>I66*J66</f>
        <v>0.9</v>
      </c>
      <c r="L66" s="145">
        <v>79</v>
      </c>
      <c r="M66" s="121">
        <f>IF(L66="","",C66-L66)</f>
        <v>30</v>
      </c>
      <c r="N66" s="163"/>
    </row>
    <row r="67" spans="1:14" ht="17.649999999999999" x14ac:dyDescent="0.5">
      <c r="A67" s="29"/>
      <c r="B67" s="125" t="s">
        <v>109</v>
      </c>
      <c r="C67" s="29"/>
      <c r="D67" s="29"/>
      <c r="E67" s="29"/>
      <c r="F67" s="29"/>
      <c r="G67" s="29"/>
      <c r="H67" s="29"/>
      <c r="I67" s="126">
        <f>ROUND(SUM(K56:K66),0)</f>
        <v>65</v>
      </c>
      <c r="J67" s="127">
        <f>SUM(J56:J66)</f>
        <v>1</v>
      </c>
      <c r="K67" s="128">
        <f>ROUND(SUM(K56:K66),1)</f>
        <v>65.2</v>
      </c>
    </row>
    <row r="69" spans="1:14" x14ac:dyDescent="0.45">
      <c r="K69" t="s">
        <v>906</v>
      </c>
    </row>
    <row r="70" spans="1:14" ht="16.899999999999999" x14ac:dyDescent="0.5">
      <c r="A70" s="129" t="s">
        <v>110</v>
      </c>
      <c r="B70" s="43"/>
      <c r="C70" s="130" t="str">
        <f>IF(I67&gt;=70,"✅ LIQUIDITY EXPANSION",IF(I67&gt;=55,"✅ MODERATE LIQUIDITY",IF(I67&gt;=45,"⚠️ NEUTRAL LIQUIDITY",IF(I67&gt;=30,"⚠️ TIGHTENING","🔴 LIQUIDITY CRUNCH"))))</f>
        <v>✅ MODERATE LIQUIDITY</v>
      </c>
      <c r="D70" s="131"/>
      <c r="E70" s="131"/>
      <c r="F70" s="131"/>
      <c r="G70" s="43"/>
      <c r="H70" s="132" t="s">
        <v>68</v>
      </c>
      <c r="I70" s="132" t="s">
        <v>69</v>
      </c>
      <c r="K70" t="s">
        <v>906</v>
      </c>
    </row>
    <row r="71" spans="1:14" x14ac:dyDescent="0.45">
      <c r="A71" s="133" t="s">
        <v>70</v>
      </c>
      <c r="B71" s="43"/>
      <c r="C71" s="134" t="str">
        <f>IF(I67&gt;=70,"Ample liquidity — Supports risk assets and credit expansion",IF(I67&gt;=55,"Moderately supportive — Normal liquidity conditions",IF(I67&gt;=45,"Mixed signals — Monitor closely for changes",IF(I67&gt;=30,"Tightening conditions — Reduce risk exposure","Severe liquidity stress — Defensive positioning required"))))</f>
        <v>Moderately supportive — Normal liquidity conditions</v>
      </c>
      <c r="D71" s="43"/>
      <c r="E71" s="43"/>
      <c r="F71" s="43"/>
      <c r="G71" s="43"/>
      <c r="H71" s="135" t="s">
        <v>111</v>
      </c>
      <c r="I71" s="136" t="s">
        <v>112</v>
      </c>
    </row>
    <row r="77" spans="1:14" ht="16.899999999999999" x14ac:dyDescent="0.5">
      <c r="A77" s="137" t="s">
        <v>113</v>
      </c>
      <c r="B77" s="83"/>
      <c r="C77" s="83"/>
      <c r="D77" s="83"/>
      <c r="E77" s="83"/>
      <c r="F77" s="83"/>
      <c r="G77" s="83"/>
      <c r="H77" s="83"/>
      <c r="I77" s="83"/>
      <c r="J77" s="83"/>
      <c r="K77" s="83"/>
    </row>
    <row r="78" spans="1:14" x14ac:dyDescent="0.45">
      <c r="A78" s="4" t="s">
        <v>75</v>
      </c>
      <c r="B78" s="29"/>
      <c r="C78" s="3" t="s">
        <v>46</v>
      </c>
      <c r="D78" s="3" t="s">
        <v>53</v>
      </c>
      <c r="E78" s="3" t="s">
        <v>76</v>
      </c>
      <c r="F78" s="3" t="s">
        <v>77</v>
      </c>
      <c r="G78" s="29"/>
      <c r="H78" s="29"/>
      <c r="I78" s="84" t="s">
        <v>78</v>
      </c>
      <c r="J78" s="29"/>
      <c r="K78" s="29"/>
    </row>
    <row r="79" spans="1:14" ht="15.4" x14ac:dyDescent="0.45">
      <c r="A79" s="85" t="s">
        <v>83</v>
      </c>
      <c r="B79" s="57"/>
      <c r="C79" s="86">
        <f>I13</f>
        <v>60</v>
      </c>
      <c r="D79" s="140">
        <v>0.35</v>
      </c>
      <c r="E79" s="87">
        <f>ROUND(C79*D79,1)</f>
        <v>21</v>
      </c>
      <c r="F79" s="55" t="str">
        <f>IF(C79&gt;=80,"✅ Risk-On",IF(C79&gt;=60,"⚠️ Moderate",IF(C79&gt;=50,"⚠️ Neutral","🔴 Risk-Off")))</f>
        <v>⚠️ Moderate</v>
      </c>
      <c r="G79" s="57"/>
      <c r="H79" s="57"/>
      <c r="I79" s="57"/>
      <c r="J79" s="57"/>
      <c r="K79" s="57"/>
    </row>
    <row r="80" spans="1:14" ht="15.4" x14ac:dyDescent="0.45">
      <c r="A80" s="88" t="s">
        <v>79</v>
      </c>
      <c r="B80" s="43"/>
      <c r="C80" s="89">
        <f>F47</f>
        <v>10</v>
      </c>
      <c r="D80" s="140">
        <v>0.35</v>
      </c>
      <c r="E80" s="90">
        <f>ROUND(C80*D80,1)</f>
        <v>3.5</v>
      </c>
      <c r="F80" s="64" t="str">
        <f>IF(C80&gt;=70,"✅ Bullish",IF(C80&gt;=45,"⚠️ Mixed","🔴 Bearish"))</f>
        <v>🔴 Bearish</v>
      </c>
      <c r="G80" s="43"/>
      <c r="H80" s="43"/>
      <c r="I80" s="43"/>
      <c r="J80" s="43"/>
      <c r="K80" s="43"/>
    </row>
    <row r="81" spans="1:14" ht="15.4" x14ac:dyDescent="0.45">
      <c r="A81" s="138" t="s">
        <v>114</v>
      </c>
      <c r="B81" s="57"/>
      <c r="C81" s="139">
        <f>I67</f>
        <v>65</v>
      </c>
      <c r="D81" s="140">
        <v>0.3</v>
      </c>
      <c r="E81" s="141">
        <f>ROUND(C81*D81,1)</f>
        <v>19.5</v>
      </c>
      <c r="F81" s="142" t="str">
        <f>IF(C81&gt;=70,"✅ Expansive",IF(C81&gt;=45,"⚠️ Neutral","🔴 Tight"))</f>
        <v>⚠️ Neutral</v>
      </c>
      <c r="G81" s="43"/>
      <c r="H81" s="43"/>
      <c r="I81" s="43"/>
      <c r="J81" s="43"/>
      <c r="K81" s="43"/>
    </row>
    <row r="82" spans="1:14" ht="20.65" x14ac:dyDescent="0.6">
      <c r="A82" s="91" t="s">
        <v>80</v>
      </c>
      <c r="B82" s="83"/>
      <c r="C82" s="143">
        <f>ROUND(E79+E80+E81,1)</f>
        <v>44</v>
      </c>
      <c r="D82" s="83"/>
      <c r="E82" s="144">
        <f>ROUND(E79+E80+E81,1)</f>
        <v>44</v>
      </c>
      <c r="F82" s="92" t="str">
        <f>C82&amp;" / 100"</f>
        <v>44 / 100</v>
      </c>
      <c r="G82" s="83"/>
      <c r="H82" s="83"/>
      <c r="I82" s="95" t="str">
        <f>IF(COUNTIF(E27:E31,"🔴 YES")&gt;0,"🚨 OVERRIDE: RISK-OFF (Trigger Active)",IF(C82&gt;=75,"✅ STRONG RISK-ON",IF(C82&gt;=60,"✅ RISK-ON (Moderate)",IF(C82&gt;=45,"⚠️ NEUTRAL",IF(C82&gt;=35,"⚠️ RISK-OFF (Moderate)","🔴 STRONG RISK-OFF")))))</f>
        <v>🚨 OVERRIDE: RISK-OFF (Trigger Active)</v>
      </c>
      <c r="J82" s="83"/>
      <c r="K82" s="83"/>
    </row>
    <row r="83" spans="1:14" x14ac:dyDescent="0.45">
      <c r="A83" s="97" t="s">
        <v>85</v>
      </c>
      <c r="B83" s="43"/>
      <c r="C83" s="96" t="str">
        <f>IF(COUNTIF(E27:E31,"🔴 YES")&gt;0,"⚠️ Circuit Breaker activo — Override: "&amp;IF(E27="🔴 YES","VIX Spike ","")&amp;IF(E28="🔴 YES","Credit Stress ","")&amp;IF(E29="🔴 YES","Fear Extreme ","")&amp;IF(E30="🔴 YES","Breadth Collapse ","")&amp;IF(E31="🔴 YES","Oil Shock ",""),IF(E32="⚠️ WATCH","⚠️ 10Y Watch activo ("&amp;C35&amp;"%) — Compras restringidas a Core A+",""))</f>
        <v xml:space="preserve">⚠️ Circuit Breaker activo — Override: VIX Spike Breadth Collapse </v>
      </c>
      <c r="D83" s="43"/>
      <c r="E83" s="43"/>
      <c r="F83" s="43"/>
      <c r="G83" s="43"/>
      <c r="H83" s="43"/>
      <c r="I83" s="43"/>
      <c r="J83" s="43"/>
      <c r="K83" s="43"/>
    </row>
    <row r="84" spans="1:14" x14ac:dyDescent="0.45">
      <c r="A84" s="93" t="s">
        <v>81</v>
      </c>
      <c r="B84" s="94"/>
      <c r="C84" s="96" t="str">
        <f>IF(COUNTIF(E27:E31,"🔴 YES")&gt;0,IF(E27="🔴 YES",F27,"")&amp;IF(AND(E27="🔴 YES",COUNTIF(E28:E31,"🔴 YES")&gt;0)," + ","")&amp;IF(E28="🔴 YES",F28,"")&amp;IF(AND(E28="🔴 YES",COUNTIF(E29:E31,"🔴 YES")&gt;0)," + ","")&amp;IF(E29="🔴 YES",F29,"")&amp;IF(AND(E29="🔴 YES",COUNTIF(E30:E31,"🔴 YES")&gt;0)," + ","")&amp;IF(E30="🔴 YES",F30,"")&amp;IF(AND(E30="🔴 YES",E31="🔴 YES")," + ","")&amp;IF(E31="🔴 YES",F31,""),IF(C82&gt;=75,"Full equity exposure. Overweight growth/cyclicals.",IF(C82&gt;=60,"Maintain equity exposure. Balanced allocation.",IF(C82&gt;=45,"Reduce position sizes. Equal-weight sectors. Raise quality.",IF(C82&gt;=35,"Underweight equities. Favor defensives. Add hedges.","Minimum equity exposure. Max hedging. Raise cash.")))))</f>
        <v>Reduce tech exposure 44% → 35%, increase hedges + Rotate to defensives (healthcare, utilities, staples)</v>
      </c>
      <c r="D84" s="94"/>
      <c r="E84" s="94"/>
      <c r="F84" s="94"/>
      <c r="G84" s="94"/>
      <c r="H84" s="94"/>
      <c r="I84" s="94"/>
      <c r="J84" s="94"/>
      <c r="K84" s="94"/>
    </row>
    <row r="86" spans="1:14" ht="16.899999999999999" x14ac:dyDescent="0.5">
      <c r="A86" s="137" t="s">
        <v>122</v>
      </c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</row>
    <row r="87" spans="1:14" ht="17.649999999999999" x14ac:dyDescent="0.5">
      <c r="A87" s="153" t="s">
        <v>123</v>
      </c>
      <c r="B87" s="154">
        <f>C79</f>
        <v>60</v>
      </c>
      <c r="C87" s="153" t="s">
        <v>124</v>
      </c>
      <c r="D87" s="154">
        <f>C80</f>
        <v>10</v>
      </c>
      <c r="E87" s="153" t="s">
        <v>125</v>
      </c>
      <c r="F87" s="155" t="str">
        <f>ABS(B87-D87)&amp;" pts"</f>
        <v>50 pts</v>
      </c>
    </row>
    <row r="88" spans="1:14" ht="17.649999999999999" x14ac:dyDescent="0.5">
      <c r="A88" s="156" t="s">
        <v>126</v>
      </c>
      <c r="B88" s="157" t="str">
        <f>IF(ABS(B87-D87)&lt;=20,"🟢 ALIGNED",IF(ABS(B87-D87)&lt;=30,"🟡 MINOR DIVERGENCE","🔴 MAJOR DIVERGENCE"))</f>
        <v>🔴 MAJOR DIVERGENCE</v>
      </c>
      <c r="E88" s="158" t="s">
        <v>127</v>
      </c>
      <c r="F88" s="159" t="str">
        <f>IF(ABS(B87-D87)&lt;=20,"HIGH — Macro &amp; price agree",IF(ABS(B87-D87)&lt;=30,"MODERATE — Some conflict","LOW — Macro and price contradict"))</f>
        <v>LOW — Macro and price contradict</v>
      </c>
    </row>
    <row r="89" spans="1:14" x14ac:dyDescent="0.45">
      <c r="A89" s="153" t="s">
        <v>128</v>
      </c>
      <c r="B89" s="138" t="str">
        <f>IF(ABS(B87-D87)&lt;=20,"Signals aligned — Trade with full conviction per Combined Score",IF(B87&gt;D87,"Fundamentals OK but price weak — Macro leads? Or price warning?","Price strong but fundamentals deteriorating — Momentum? Or denial?"))</f>
        <v>Fundamentals OK but price weak — Macro leads? Or price warning?</v>
      </c>
    </row>
    <row r="90" spans="1:14" x14ac:dyDescent="0.45">
      <c r="A90" s="160" t="s">
        <v>129</v>
      </c>
      <c r="B90" s="161" t="str">
        <f>IF(ABS(B87-D87)&lt;=20,"✅ Normal positioning per Combined Score",IF(ABS(B87-D87)&lt;=30,"⚠️ Consider modest size reduction on new positions","🔴 Reduce conviction on new adds — Wait for alignment before full sizing"))</f>
        <v>🔴 Reduce conviction on new adds — Wait for alignment before full sizing</v>
      </c>
    </row>
    <row r="91" spans="1:14" x14ac:dyDescent="0.45">
      <c r="A91" s="43"/>
    </row>
    <row r="92" spans="1:14" x14ac:dyDescent="0.45">
      <c r="A92" s="152" t="s">
        <v>130</v>
      </c>
      <c r="B92" s="151" t="str">
        <f>IF(ABS(B87-D87)&lt;=20,"N/A — Signals already aligned",IF(B87&gt;D87,"S&amp;P above MA-50 | RSI &gt;55 | MACD positive → Technical catches up to Macro","VIX &lt;20 | Spreads &lt;300 | Breadth &gt;65% → Macro catches up to Price"))</f>
        <v>S&amp;P above MA-50 | RSI &gt;55 | MACD positive → Technical catches up to Macro</v>
      </c>
    </row>
    <row r="93" spans="1:14" x14ac:dyDescent="0.45">
      <c r="A93" s="43"/>
    </row>
    <row r="94" spans="1:14" ht="16.899999999999999" x14ac:dyDescent="0.5">
      <c r="A94" s="300" t="s">
        <v>482</v>
      </c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</row>
    <row r="95" spans="1:14" x14ac:dyDescent="0.45">
      <c r="A95" s="3" t="s">
        <v>2</v>
      </c>
      <c r="B95" s="4" t="s">
        <v>483</v>
      </c>
      <c r="C95" s="3" t="s">
        <v>484</v>
      </c>
      <c r="D95" s="398" t="s">
        <v>825</v>
      </c>
      <c r="E95" s="399" t="s">
        <v>826</v>
      </c>
      <c r="F95" s="301" t="s">
        <v>827</v>
      </c>
      <c r="G95" s="302" t="s">
        <v>828</v>
      </c>
      <c r="H95" s="303" t="s">
        <v>485</v>
      </c>
      <c r="I95" s="262" t="s">
        <v>486</v>
      </c>
    </row>
    <row r="96" spans="1:14" x14ac:dyDescent="0.45">
      <c r="A96" s="5">
        <v>1</v>
      </c>
      <c r="B96" s="6" t="s">
        <v>487</v>
      </c>
      <c r="C96" s="304" t="s">
        <v>488</v>
      </c>
      <c r="D96" s="400" t="s">
        <v>829</v>
      </c>
      <c r="E96" s="8" t="s">
        <v>490</v>
      </c>
      <c r="F96" s="9" t="s">
        <v>491</v>
      </c>
      <c r="G96" s="10" t="s">
        <v>492</v>
      </c>
      <c r="H96" s="305" t="str">
        <f>IF($C$82&gt;=75,D96,IF($C$82&gt;=60,E96,IF($C$82&gt;=45,F96,G96)))</f>
        <v>🔴 Underweight</v>
      </c>
      <c r="I96" s="306" t="s">
        <v>493</v>
      </c>
    </row>
    <row r="97" spans="1:9" x14ac:dyDescent="0.45">
      <c r="A97" s="16">
        <v>2</v>
      </c>
      <c r="B97" s="17" t="s">
        <v>494</v>
      </c>
      <c r="C97" s="307" t="s">
        <v>488</v>
      </c>
      <c r="D97" s="401" t="s">
        <v>829</v>
      </c>
      <c r="E97" s="19" t="s">
        <v>490</v>
      </c>
      <c r="F97" s="20" t="s">
        <v>491</v>
      </c>
      <c r="G97" s="21" t="s">
        <v>492</v>
      </c>
      <c r="H97" s="305" t="str">
        <f t="shared" ref="H97:H105" si="4">IF($C$82&gt;=75,D97,IF($C$82&gt;=60,E97,IF($C$82&gt;=45,F97,G97)))</f>
        <v>🔴 Underweight</v>
      </c>
      <c r="I97" s="308" t="s">
        <v>495</v>
      </c>
    </row>
    <row r="98" spans="1:9" x14ac:dyDescent="0.45">
      <c r="A98" s="5">
        <v>3</v>
      </c>
      <c r="B98" s="6" t="s">
        <v>496</v>
      </c>
      <c r="C98" s="309" t="s">
        <v>497</v>
      </c>
      <c r="D98" s="400" t="s">
        <v>830</v>
      </c>
      <c r="E98" s="9" t="s">
        <v>498</v>
      </c>
      <c r="F98" s="9" t="s">
        <v>491</v>
      </c>
      <c r="G98" s="10" t="s">
        <v>492</v>
      </c>
      <c r="H98" s="305" t="str">
        <f t="shared" si="4"/>
        <v>🔴 Underweight</v>
      </c>
      <c r="I98" s="306" t="s">
        <v>499</v>
      </c>
    </row>
    <row r="99" spans="1:9" x14ac:dyDescent="0.45">
      <c r="A99" s="16">
        <v>4</v>
      </c>
      <c r="B99" s="17" t="s">
        <v>500</v>
      </c>
      <c r="C99" s="310" t="s">
        <v>497</v>
      </c>
      <c r="D99" s="20" t="s">
        <v>498</v>
      </c>
      <c r="E99" s="19" t="s">
        <v>490</v>
      </c>
      <c r="F99" s="20" t="s">
        <v>491</v>
      </c>
      <c r="G99" s="21" t="s">
        <v>492</v>
      </c>
      <c r="H99" s="305" t="str">
        <f t="shared" si="4"/>
        <v>🔴 Underweight</v>
      </c>
      <c r="I99" s="308" t="s">
        <v>501</v>
      </c>
    </row>
    <row r="100" spans="1:9" x14ac:dyDescent="0.45">
      <c r="A100" s="5">
        <v>5</v>
      </c>
      <c r="B100" s="6" t="s">
        <v>502</v>
      </c>
      <c r="C100" s="309" t="s">
        <v>503</v>
      </c>
      <c r="D100" s="400" t="s">
        <v>829</v>
      </c>
      <c r="E100" s="9" t="s">
        <v>498</v>
      </c>
      <c r="F100" s="9" t="s">
        <v>498</v>
      </c>
      <c r="G100" s="9" t="s">
        <v>498</v>
      </c>
      <c r="H100" s="305" t="str">
        <f t="shared" si="4"/>
        <v>⚠️ Neutral</v>
      </c>
      <c r="I100" s="311" t="s">
        <v>504</v>
      </c>
    </row>
    <row r="101" spans="1:9" x14ac:dyDescent="0.45">
      <c r="A101" s="16">
        <v>6</v>
      </c>
      <c r="B101" s="17" t="s">
        <v>505</v>
      </c>
      <c r="C101" s="310" t="s">
        <v>503</v>
      </c>
      <c r="D101" s="20" t="s">
        <v>498</v>
      </c>
      <c r="E101" s="20" t="s">
        <v>498</v>
      </c>
      <c r="F101" s="20" t="s">
        <v>491</v>
      </c>
      <c r="G101" s="21" t="s">
        <v>492</v>
      </c>
      <c r="H101" s="305" t="str">
        <f t="shared" si="4"/>
        <v>🔴 Underweight</v>
      </c>
      <c r="I101" s="308" t="s">
        <v>506</v>
      </c>
    </row>
    <row r="102" spans="1:9" x14ac:dyDescent="0.45">
      <c r="A102" s="5">
        <v>7</v>
      </c>
      <c r="B102" s="6" t="s">
        <v>507</v>
      </c>
      <c r="C102" s="312" t="s">
        <v>508</v>
      </c>
      <c r="D102" s="402" t="s">
        <v>489</v>
      </c>
      <c r="E102" s="9" t="s">
        <v>498</v>
      </c>
      <c r="F102" s="8" t="s">
        <v>489</v>
      </c>
      <c r="G102" s="8" t="s">
        <v>489</v>
      </c>
      <c r="H102" s="305" t="str">
        <f t="shared" si="4"/>
        <v>✅ Overweight</v>
      </c>
      <c r="I102" s="306" t="s">
        <v>509</v>
      </c>
    </row>
    <row r="103" spans="1:9" x14ac:dyDescent="0.45">
      <c r="A103" s="16">
        <v>8</v>
      </c>
      <c r="B103" s="17" t="s">
        <v>510</v>
      </c>
      <c r="C103" s="313" t="s">
        <v>508</v>
      </c>
      <c r="D103" s="403" t="s">
        <v>489</v>
      </c>
      <c r="E103" s="20" t="s">
        <v>498</v>
      </c>
      <c r="F103" s="19" t="s">
        <v>489</v>
      </c>
      <c r="G103" s="19" t="s">
        <v>489</v>
      </c>
      <c r="H103" s="305" t="str">
        <f t="shared" si="4"/>
        <v>✅ Overweight</v>
      </c>
      <c r="I103" s="308" t="s">
        <v>511</v>
      </c>
    </row>
    <row r="104" spans="1:9" x14ac:dyDescent="0.45">
      <c r="A104" s="5">
        <v>9</v>
      </c>
      <c r="B104" s="6" t="s">
        <v>512</v>
      </c>
      <c r="C104" s="312" t="s">
        <v>508</v>
      </c>
      <c r="D104" s="402" t="s">
        <v>489</v>
      </c>
      <c r="E104" s="9" t="s">
        <v>498</v>
      </c>
      <c r="F104" s="8" t="s">
        <v>489</v>
      </c>
      <c r="G104" s="8" t="s">
        <v>489</v>
      </c>
      <c r="H104" s="305" t="str">
        <f t="shared" si="4"/>
        <v>✅ Overweight</v>
      </c>
      <c r="I104" s="306" t="s">
        <v>513</v>
      </c>
    </row>
    <row r="105" spans="1:9" x14ac:dyDescent="0.45">
      <c r="A105" s="16">
        <v>10</v>
      </c>
      <c r="B105" s="17" t="s">
        <v>514</v>
      </c>
      <c r="C105" s="307" t="s">
        <v>515</v>
      </c>
      <c r="D105" s="21" t="s">
        <v>831</v>
      </c>
      <c r="E105" s="20" t="s">
        <v>498</v>
      </c>
      <c r="F105" s="21" t="s">
        <v>492</v>
      </c>
      <c r="G105" s="21" t="s">
        <v>516</v>
      </c>
      <c r="H105" s="305" t="str">
        <f t="shared" si="4"/>
        <v>🔴 Avoid</v>
      </c>
      <c r="I105" s="308" t="s">
        <v>517</v>
      </c>
    </row>
    <row r="107" spans="1:9" x14ac:dyDescent="0.45">
      <c r="A107" s="314" t="s">
        <v>518</v>
      </c>
      <c r="B107" s="1"/>
      <c r="C107" s="1"/>
      <c r="D107" s="1"/>
      <c r="E107" s="1"/>
      <c r="F107" s="1"/>
      <c r="G107" s="1"/>
      <c r="H107" s="1"/>
      <c r="I107" s="1"/>
    </row>
    <row r="108" spans="1:9" x14ac:dyDescent="0.45">
      <c r="A108" s="316" t="s">
        <v>519</v>
      </c>
      <c r="B108" s="315" t="str">
        <f>IF($C$82&gt;=75,"Healthcare, Staples, Utilities (defensivos ante toma de beneficios)",IF($C$82&gt;=60,"Tech, Discretionary, Financials",IF($C$82&gt;=45,"Healthcare, Staples, Utilities","Healthcare, Staples, Utilities")))</f>
        <v>Healthcare, Staples, Utilities</v>
      </c>
      <c r="C108" s="34"/>
      <c r="D108" s="34"/>
      <c r="E108" s="34"/>
      <c r="F108" s="34"/>
      <c r="G108" s="34"/>
      <c r="H108" s="34"/>
      <c r="I108" s="34"/>
    </row>
    <row r="109" spans="1:9" x14ac:dyDescent="0.45">
      <c r="A109" s="318" t="s">
        <v>520</v>
      </c>
      <c r="B109" s="317" t="str">
        <f>IF($C$82&gt;=75,"Tech, Discretionary, Cyclicals (trim 10-15%)",IF($C$82&gt;=60,"Industrials, Energy, REITs, Healthcare, Staples, Utilities, Small Caps",IF($C$82&gt;=45,"Industrials, Energy, Financials, Small Caps","Energy, Small Caps")))</f>
        <v>Energy, Small Caps</v>
      </c>
      <c r="C109" s="94"/>
      <c r="D109" s="94"/>
      <c r="E109" s="94"/>
      <c r="F109" s="94"/>
      <c r="G109" s="94"/>
      <c r="H109" s="94"/>
      <c r="I109" s="94"/>
    </row>
    <row r="110" spans="1:9" x14ac:dyDescent="0.45">
      <c r="A110" s="320" t="s">
        <v>521</v>
      </c>
      <c r="B110" s="319" t="str">
        <f>IF($C$82&gt;=75,"Staples, Utilities (underperform in Risk-On)",IF($C$82&gt;=60,"None — Balanced allocation across all sectors",IF($C$82&gt;=45,"Tech, Discretionary, Small Caps (high beta)","Tech, Discretionary, Financials, REITs, Small Caps")))</f>
        <v>Tech, Discretionary, Financials, REITs, Small Caps</v>
      </c>
      <c r="C110" s="39"/>
      <c r="D110" s="39"/>
      <c r="E110" s="39"/>
      <c r="F110" s="39"/>
      <c r="G110" s="39"/>
      <c r="H110" s="39"/>
      <c r="I110" s="39"/>
    </row>
    <row r="111" spans="1:9" x14ac:dyDescent="0.45">
      <c r="A111" s="321" t="s">
        <v>522</v>
      </c>
      <c r="B111" s="322" t="str">
        <f>IF($C$82&gt;=75,"Full tech overweight (44%). Add cyclicals. Aggressive. Cash ≤4%.",IF($C$82&gt;=60,"Maintain tech (44%). Balanced allocation. Normal risk. Cash 5-8%.",IF($C$82&gt;=45,"Trim tech 44%→38%. Add defensives (JNJ, PG). Cash 8-10%.","Cut tech 44%→30%. Rotate to healthcare + staples. Cash 10-15%.")))</f>
        <v>Cut tech 44%→30%. Rotate to healthcare + staples. Cash 10-15%.</v>
      </c>
      <c r="C111" s="29"/>
      <c r="D111" s="29"/>
      <c r="E111" s="29"/>
      <c r="F111" s="29"/>
      <c r="G111" s="29"/>
      <c r="H111" s="29"/>
      <c r="I111" s="29"/>
    </row>
  </sheetData>
  <mergeCells count="25">
    <mergeCell ref="A1:K1"/>
    <mergeCell ref="A2:K2"/>
    <mergeCell ref="A3:K3"/>
    <mergeCell ref="B27:C27"/>
    <mergeCell ref="B28:C28"/>
    <mergeCell ref="F26:K26"/>
    <mergeCell ref="B26:C26"/>
    <mergeCell ref="C16:E16"/>
    <mergeCell ref="C17:E17"/>
    <mergeCell ref="F16:K16"/>
    <mergeCell ref="A5:J5"/>
    <mergeCell ref="A15:K15"/>
    <mergeCell ref="A25:K25"/>
    <mergeCell ref="C18:E18"/>
    <mergeCell ref="F17:K17"/>
    <mergeCell ref="F18:K18"/>
    <mergeCell ref="F20:K20"/>
    <mergeCell ref="F21:K21"/>
    <mergeCell ref="B30:C30"/>
    <mergeCell ref="F27:K27"/>
    <mergeCell ref="F28:K28"/>
    <mergeCell ref="F29:K29"/>
    <mergeCell ref="F30:K30"/>
    <mergeCell ref="B29:C29"/>
    <mergeCell ref="F22:K22"/>
  </mergeCells>
  <conditionalFormatting sqref="A83">
    <cfRule type="expression" dxfId="14" priority="5">
      <formula>COUNTIF(E27:E30,"🔴 YES")=0</formula>
    </cfRule>
  </conditionalFormatting>
  <conditionalFormatting sqref="C83">
    <cfRule type="expression" dxfId="13" priority="6">
      <formula>COUNTIF(E27:E30,"🔴 YES")=0</formula>
    </cfRule>
  </conditionalFormatting>
  <conditionalFormatting sqref="C84">
    <cfRule type="expression" dxfId="12" priority="3">
      <formula>COUNTIF(E27:E30,"🔴 YES")=0</formula>
    </cfRule>
    <cfRule type="expression" dxfId="11" priority="4">
      <formula>COUNTIF(E27:E30,"🔴 YES")&gt;0</formula>
    </cfRule>
  </conditionalFormatting>
  <conditionalFormatting sqref="I82">
    <cfRule type="expression" dxfId="10" priority="1">
      <formula>COUNTIF(E27:E30,"🔴 YES")=0</formula>
    </cfRule>
    <cfRule type="expression" dxfId="9" priority="2">
      <formula>COUNTIF(E27:E30,"🔴 YES")&gt;0</formula>
    </cfRule>
  </conditionalFormatting>
  <dataValidations count="5">
    <dataValidation type="whole" allowBlank="1" showInputMessage="1" showErrorMessage="1" errorTitle="Invalid Input" error="Weeks must be a whole number between 0 and 200." sqref="C24" xr:uid="{A80E9328-B1CB-42B4-BB95-959613CB3806}">
      <formula1>0</formula1>
      <formula2>200</formula2>
    </dataValidation>
    <dataValidation type="decimal" allowBlank="1" showInputMessage="1" showErrorMessage="1" errorTitle="Invalid Input" error="Breadth must be a decimal between 0 and 1 (e.g., 0.65 for 65%)." sqref="C10:C12" xr:uid="{EAE43B10-D44C-4FDA-8BF5-31D4023742D2}">
      <formula1>0</formula1>
      <formula2>1</formula2>
    </dataValidation>
    <dataValidation type="decimal" allowBlank="1" showInputMessage="1" showErrorMessage="1" errorTitle="Invalid Input" error="VIX must be between 0 and 100." sqref="C7" xr:uid="{25AD9E30-01D5-487D-A7B3-AFB1D1B1A93C}">
      <formula1>0</formula1>
      <formula2>100</formula2>
    </dataValidation>
    <dataValidation type="decimal" allowBlank="1" showInputMessage="1" showErrorMessage="1" errorTitle="Invalid Input" error="HY Spreads must be between 0 and 2000 bps." sqref="C8" xr:uid="{40A36BCC-7DDA-4C0B-BBD3-DB31261210B2}">
      <formula1>0</formula1>
      <formula2>2000</formula2>
    </dataValidation>
    <dataValidation type="decimal" allowBlank="1" showInputMessage="1" showErrorMessage="1" errorTitle="Invalid Input" error="Put/Call Ratio must be between 0 and 5." sqref="C9" xr:uid="{58B79D15-8516-4D99-8D41-8143D9FA8A35}">
      <formula1>0</formula1>
      <formula2>5</formula2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2F7AA-812D-4D40-9B3A-B368A8F0E0B9}">
  <sheetPr>
    <tabColor rgb="FF1B2A4A"/>
  </sheetPr>
  <dimension ref="A1:X201"/>
  <sheetViews>
    <sheetView workbookViewId="0">
      <pane ySplit="4" topLeftCell="A5" activePane="bottomLeft" state="frozen"/>
      <selection pane="bottomLeft" sqref="A1:U1"/>
    </sheetView>
  </sheetViews>
  <sheetFormatPr baseColWidth="10" defaultRowHeight="14.25" x14ac:dyDescent="0.45"/>
  <cols>
    <col min="1" max="1" width="15.19921875" customWidth="1"/>
    <col min="2" max="2" width="9" customWidth="1"/>
    <col min="3" max="6" width="11.6640625" customWidth="1"/>
    <col min="7" max="7" width="16.1328125" customWidth="1"/>
    <col min="8" max="11" width="11.6640625" customWidth="1"/>
    <col min="12" max="12" width="16.1328125" customWidth="1"/>
    <col min="13" max="19" width="12.53125" customWidth="1"/>
    <col min="20" max="20" width="16.1328125" customWidth="1"/>
    <col min="21" max="21" width="17.06640625" customWidth="1"/>
    <col min="22" max="22" width="25.1328125" customWidth="1"/>
    <col min="23" max="23" width="17.9296875" customWidth="1"/>
    <col min="24" max="24" width="35.9296875" customWidth="1"/>
  </cols>
  <sheetData>
    <row r="1" spans="1:24" ht="21" x14ac:dyDescent="0.65">
      <c r="A1" s="459" t="s">
        <v>132</v>
      </c>
      <c r="B1" s="460"/>
      <c r="C1" s="460"/>
      <c r="D1" s="460"/>
      <c r="E1" s="460"/>
      <c r="F1" s="460"/>
      <c r="G1" s="460"/>
      <c r="H1" s="460"/>
      <c r="I1" s="460"/>
      <c r="J1" s="460"/>
      <c r="K1" s="460"/>
      <c r="L1" s="460"/>
      <c r="M1" s="460"/>
      <c r="N1" s="460"/>
      <c r="O1" s="460"/>
      <c r="P1" s="460"/>
      <c r="Q1" s="460"/>
      <c r="R1" s="460"/>
      <c r="S1" s="460"/>
      <c r="T1" s="460"/>
      <c r="U1" s="460"/>
    </row>
    <row r="2" spans="1:24" x14ac:dyDescent="0.45">
      <c r="A2" s="164" t="s">
        <v>133</v>
      </c>
    </row>
    <row r="3" spans="1:24" x14ac:dyDescent="0.45">
      <c r="A3" s="167" t="s">
        <v>150</v>
      </c>
    </row>
    <row r="4" spans="1:24" ht="14.65" thickBot="1" x14ac:dyDescent="0.5">
      <c r="A4" s="165" t="s">
        <v>134</v>
      </c>
      <c r="B4" s="166" t="s">
        <v>135</v>
      </c>
      <c r="C4" s="173" t="s">
        <v>42</v>
      </c>
      <c r="D4" s="173" t="s">
        <v>43</v>
      </c>
      <c r="E4" s="173" t="s">
        <v>44</v>
      </c>
      <c r="F4" s="173" t="s">
        <v>45</v>
      </c>
      <c r="G4" s="174" t="s">
        <v>136</v>
      </c>
      <c r="H4" s="175" t="s">
        <v>137</v>
      </c>
      <c r="I4" s="175" t="s">
        <v>138</v>
      </c>
      <c r="J4" s="175" t="s">
        <v>139</v>
      </c>
      <c r="K4" s="175" t="s">
        <v>140</v>
      </c>
      <c r="L4" s="174" t="s">
        <v>141</v>
      </c>
      <c r="M4" s="176" t="s">
        <v>142</v>
      </c>
      <c r="N4" s="176" t="s">
        <v>143</v>
      </c>
      <c r="O4" s="176" t="s">
        <v>144</v>
      </c>
      <c r="P4" s="299" t="s">
        <v>475</v>
      </c>
      <c r="Q4" s="299" t="s">
        <v>476</v>
      </c>
      <c r="R4" s="299" t="s">
        <v>477</v>
      </c>
      <c r="S4" s="299" t="s">
        <v>478</v>
      </c>
      <c r="T4" s="174" t="s">
        <v>145</v>
      </c>
      <c r="U4" s="177" t="s">
        <v>146</v>
      </c>
      <c r="V4" s="177" t="s">
        <v>147</v>
      </c>
      <c r="W4" s="177" t="s">
        <v>148</v>
      </c>
      <c r="X4" s="178" t="s">
        <v>149</v>
      </c>
    </row>
    <row r="5" spans="1:24" x14ac:dyDescent="0.45">
      <c r="A5" s="168">
        <v>46086</v>
      </c>
      <c r="B5" s="169">
        <v>3</v>
      </c>
      <c r="C5" s="180">
        <f>'B5 - Market Regime'!C7</f>
        <v>26.78</v>
      </c>
      <c r="D5" s="182">
        <f>'B5 - Market Regime'!C8</f>
        <v>320</v>
      </c>
      <c r="E5" s="180">
        <f>'B5 - Market Regime'!C9</f>
        <v>0.57999999999999996</v>
      </c>
      <c r="F5" s="170">
        <f>'B5 - Market Regime'!C10</f>
        <v>0.42</v>
      </c>
      <c r="G5" s="185">
        <f>'B5 - Market Regime'!I13</f>
        <v>60</v>
      </c>
      <c r="H5" s="186">
        <f>'B5 - Market Regime'!B41</f>
        <v>6506.48</v>
      </c>
      <c r="I5" s="180">
        <f>'B5 - Market Regime'!B44</f>
        <v>23.34</v>
      </c>
      <c r="J5" s="188">
        <f>'B5 - Market Regime'!B45</f>
        <v>-39.43</v>
      </c>
      <c r="K5" s="180">
        <f>'B5 - Market Regime'!B46</f>
        <v>140</v>
      </c>
      <c r="L5" s="185">
        <f>'B5 - Market Regime'!F47</f>
        <v>10</v>
      </c>
      <c r="M5" s="170">
        <f>'B5 - Market Regime'!C56</f>
        <v>4.2900000000000001E-2</v>
      </c>
      <c r="N5" s="180">
        <f>'B5 - Market Regime'!C57</f>
        <v>6.61</v>
      </c>
      <c r="O5" s="190">
        <f>'B5 - Market Regime'!C59</f>
        <v>3.625</v>
      </c>
      <c r="P5" s="190">
        <f>'B5 - Market Regime'!C62</f>
        <v>0.51</v>
      </c>
      <c r="Q5" s="190">
        <f>'B5 - Market Regime'!C63</f>
        <v>5</v>
      </c>
      <c r="R5" s="190">
        <f>'B5 - Market Regime'!C64</f>
        <v>99.5</v>
      </c>
      <c r="S5" s="190">
        <f>'B5 - Market Regime'!C65</f>
        <v>0.71099999999999997</v>
      </c>
      <c r="T5" s="185">
        <f>'B5 - Market Regime'!I67</f>
        <v>65</v>
      </c>
      <c r="U5" s="192">
        <f>'B5 - Market Regime'!C82</f>
        <v>44</v>
      </c>
      <c r="V5" s="171" t="str">
        <f>'B5 - Market Regime'!I82</f>
        <v>🚨 OVERRIDE: RISK-OFF (Trigger Active)</v>
      </c>
      <c r="W5" s="169" t="str">
        <f>IF('B5 - Market Regime'!C83="","None",'B5 - Market Regime'!C83)</f>
        <v xml:space="preserve">⚠️ Circuit Breaker activo — Override: VIX Spike Breadth Collapse </v>
      </c>
      <c r="X5" s="172" t="s">
        <v>910</v>
      </c>
    </row>
    <row r="6" spans="1:24" x14ac:dyDescent="0.45">
      <c r="A6" s="470">
        <v>46079</v>
      </c>
      <c r="B6" s="471">
        <v>2</v>
      </c>
      <c r="C6" s="472">
        <v>23.51</v>
      </c>
      <c r="D6" s="473">
        <v>317</v>
      </c>
      <c r="E6" s="472">
        <v>0.57999999999999996</v>
      </c>
      <c r="F6" s="474">
        <v>0.48</v>
      </c>
      <c r="G6" s="475">
        <v>67</v>
      </c>
      <c r="H6" s="476">
        <v>6716.09</v>
      </c>
      <c r="I6" s="472">
        <v>48.85</v>
      </c>
      <c r="J6" s="477">
        <v>-8.6300000000000008</v>
      </c>
      <c r="K6" s="472">
        <v>140</v>
      </c>
      <c r="L6" s="475">
        <v>41</v>
      </c>
      <c r="M6" s="474">
        <v>4.2900000000000001E-2</v>
      </c>
      <c r="N6" s="472">
        <v>6.61</v>
      </c>
      <c r="O6" s="478">
        <v>3.625</v>
      </c>
      <c r="P6" s="478">
        <v>0.51</v>
      </c>
      <c r="Q6" s="478">
        <v>5</v>
      </c>
      <c r="R6" s="478">
        <v>99.5</v>
      </c>
      <c r="S6" s="478">
        <v>0.746</v>
      </c>
      <c r="T6" s="475">
        <v>67</v>
      </c>
      <c r="U6" s="479">
        <v>58</v>
      </c>
      <c r="V6" s="480" t="s">
        <v>907</v>
      </c>
      <c r="W6" s="471" t="s">
        <v>908</v>
      </c>
      <c r="X6" s="481" t="s">
        <v>909</v>
      </c>
    </row>
    <row r="7" spans="1:24" x14ac:dyDescent="0.45">
      <c r="A7" s="179"/>
      <c r="C7" s="181"/>
      <c r="D7" s="183"/>
      <c r="E7" s="181"/>
      <c r="F7" s="184"/>
      <c r="G7" s="183"/>
      <c r="H7" s="187"/>
      <c r="I7" s="181"/>
      <c r="J7" s="189"/>
      <c r="K7" s="181"/>
      <c r="L7" s="183"/>
      <c r="M7" s="184"/>
      <c r="N7" s="181"/>
      <c r="O7" s="191"/>
      <c r="P7" s="191"/>
      <c r="Q7" s="191"/>
      <c r="R7" s="191"/>
      <c r="S7" s="191"/>
      <c r="T7" s="183"/>
      <c r="U7" s="183"/>
    </row>
    <row r="8" spans="1:24" x14ac:dyDescent="0.45">
      <c r="A8" s="179"/>
      <c r="C8" s="181"/>
      <c r="D8" s="183"/>
      <c r="E8" s="181"/>
      <c r="F8" s="184"/>
      <c r="G8" s="183"/>
      <c r="H8" s="187"/>
      <c r="I8" s="181"/>
      <c r="J8" s="189"/>
      <c r="K8" s="181"/>
      <c r="L8" s="183"/>
      <c r="M8" s="184"/>
      <c r="N8" s="181"/>
      <c r="O8" s="191"/>
      <c r="P8" s="191"/>
      <c r="Q8" s="191"/>
      <c r="R8" s="191"/>
      <c r="S8" s="191"/>
      <c r="T8" s="183"/>
      <c r="U8" s="183"/>
    </row>
    <row r="9" spans="1:24" x14ac:dyDescent="0.45">
      <c r="A9" s="179"/>
      <c r="C9" s="181"/>
      <c r="D9" s="183"/>
      <c r="E9" s="181"/>
      <c r="F9" s="184"/>
      <c r="G9" s="183"/>
      <c r="H9" s="187"/>
      <c r="I9" s="181"/>
      <c r="J9" s="189"/>
      <c r="K9" s="181"/>
      <c r="L9" s="183"/>
      <c r="M9" s="184"/>
      <c r="N9" s="181"/>
      <c r="O9" s="191"/>
      <c r="P9" s="191"/>
      <c r="Q9" s="191"/>
      <c r="R9" s="191"/>
      <c r="S9" s="191"/>
      <c r="T9" s="183"/>
      <c r="U9" s="183"/>
    </row>
    <row r="10" spans="1:24" x14ac:dyDescent="0.45">
      <c r="A10" s="179"/>
      <c r="C10" s="181"/>
      <c r="D10" s="183"/>
      <c r="E10" s="181"/>
      <c r="F10" s="184"/>
      <c r="G10" s="183"/>
      <c r="H10" s="187"/>
      <c r="I10" s="181"/>
      <c r="J10" s="189"/>
      <c r="K10" s="181"/>
      <c r="L10" s="183"/>
      <c r="M10" s="184"/>
      <c r="N10" s="181"/>
      <c r="O10" s="191"/>
      <c r="P10" s="191"/>
      <c r="Q10" s="191"/>
      <c r="R10" s="191"/>
      <c r="S10" s="191"/>
      <c r="T10" s="183"/>
      <c r="U10" s="183"/>
    </row>
    <row r="11" spans="1:24" x14ac:dyDescent="0.45">
      <c r="A11" s="179"/>
      <c r="C11" s="181"/>
      <c r="D11" s="183"/>
      <c r="E11" s="181"/>
      <c r="F11" s="184"/>
      <c r="G11" s="183"/>
      <c r="H11" s="187"/>
      <c r="I11" s="181"/>
      <c r="J11" s="189"/>
      <c r="K11" s="181"/>
      <c r="L11" s="183"/>
      <c r="M11" s="184"/>
      <c r="N11" s="181"/>
      <c r="O11" s="191"/>
      <c r="P11" s="191"/>
      <c r="Q11" s="191"/>
      <c r="R11" s="191"/>
      <c r="S11" s="191"/>
      <c r="T11" s="183"/>
      <c r="U11" s="183"/>
    </row>
    <row r="12" spans="1:24" x14ac:dyDescent="0.45">
      <c r="A12" s="179"/>
      <c r="C12" s="181"/>
      <c r="D12" s="183"/>
      <c r="E12" s="181"/>
      <c r="F12" s="184"/>
      <c r="G12" s="183"/>
      <c r="H12" s="187"/>
      <c r="I12" s="181"/>
      <c r="J12" s="189"/>
      <c r="K12" s="181"/>
      <c r="L12" s="183"/>
      <c r="M12" s="184"/>
      <c r="N12" s="181"/>
      <c r="O12" s="191"/>
      <c r="P12" s="191"/>
      <c r="Q12" s="191"/>
      <c r="R12" s="191"/>
      <c r="S12" s="191"/>
      <c r="T12" s="183"/>
      <c r="U12" s="183"/>
    </row>
    <row r="13" spans="1:24" x14ac:dyDescent="0.45">
      <c r="A13" s="179"/>
      <c r="C13" s="181"/>
      <c r="D13" s="183"/>
      <c r="E13" s="181"/>
      <c r="F13" s="184"/>
      <c r="G13" s="183"/>
      <c r="H13" s="187"/>
      <c r="I13" s="181"/>
      <c r="J13" s="189"/>
      <c r="K13" s="181"/>
      <c r="L13" s="183"/>
      <c r="M13" s="184"/>
      <c r="N13" s="181"/>
      <c r="O13" s="191"/>
      <c r="P13" s="191"/>
      <c r="Q13" s="191"/>
      <c r="R13" s="191"/>
      <c r="S13" s="191"/>
      <c r="T13" s="183"/>
      <c r="U13" s="183"/>
    </row>
    <row r="14" spans="1:24" x14ac:dyDescent="0.45">
      <c r="A14" s="179"/>
      <c r="C14" s="181"/>
      <c r="D14" s="183"/>
      <c r="E14" s="181"/>
      <c r="F14" s="184"/>
      <c r="G14" s="183"/>
      <c r="H14" s="187"/>
      <c r="I14" s="181"/>
      <c r="J14" s="189"/>
      <c r="K14" s="181"/>
      <c r="L14" s="183"/>
      <c r="M14" s="184"/>
      <c r="N14" s="181"/>
      <c r="O14" s="191"/>
      <c r="P14" s="191"/>
      <c r="Q14" s="191"/>
      <c r="R14" s="191"/>
      <c r="S14" s="191"/>
      <c r="T14" s="183"/>
      <c r="U14" s="183"/>
    </row>
    <row r="15" spans="1:24" x14ac:dyDescent="0.45">
      <c r="A15" s="179"/>
      <c r="C15" s="181"/>
      <c r="D15" s="183"/>
      <c r="E15" s="181"/>
      <c r="F15" s="184"/>
      <c r="G15" s="183"/>
      <c r="H15" s="187"/>
      <c r="I15" s="181"/>
      <c r="J15" s="189"/>
      <c r="K15" s="181"/>
      <c r="L15" s="183"/>
      <c r="M15" s="184"/>
      <c r="N15" s="181"/>
      <c r="O15" s="191"/>
      <c r="P15" s="191"/>
      <c r="Q15" s="191"/>
      <c r="R15" s="191"/>
      <c r="S15" s="191"/>
      <c r="T15" s="183"/>
      <c r="U15" s="183"/>
    </row>
    <row r="16" spans="1:24" x14ac:dyDescent="0.45">
      <c r="A16" s="179"/>
      <c r="C16" s="181"/>
      <c r="D16" s="183"/>
      <c r="E16" s="181"/>
      <c r="F16" s="184"/>
      <c r="G16" s="183"/>
      <c r="H16" s="187"/>
      <c r="I16" s="181"/>
      <c r="J16" s="189"/>
      <c r="K16" s="181"/>
      <c r="L16" s="183"/>
      <c r="M16" s="184"/>
      <c r="N16" s="181"/>
      <c r="O16" s="191"/>
      <c r="P16" s="191"/>
      <c r="Q16" s="191"/>
      <c r="R16" s="191"/>
      <c r="S16" s="191"/>
      <c r="T16" s="183"/>
      <c r="U16" s="183"/>
    </row>
    <row r="17" spans="1:21" x14ac:dyDescent="0.45">
      <c r="A17" s="179"/>
      <c r="C17" s="181"/>
      <c r="D17" s="183"/>
      <c r="E17" s="181"/>
      <c r="F17" s="184"/>
      <c r="G17" s="183"/>
      <c r="H17" s="187"/>
      <c r="I17" s="181"/>
      <c r="J17" s="189"/>
      <c r="K17" s="181"/>
      <c r="L17" s="183"/>
      <c r="M17" s="184"/>
      <c r="N17" s="181"/>
      <c r="O17" s="191"/>
      <c r="P17" s="191"/>
      <c r="Q17" s="191"/>
      <c r="R17" s="191"/>
      <c r="S17" s="191"/>
      <c r="T17" s="183"/>
      <c r="U17" s="183"/>
    </row>
    <row r="18" spans="1:21" x14ac:dyDescent="0.45">
      <c r="A18" s="179"/>
      <c r="C18" s="181"/>
      <c r="D18" s="183"/>
      <c r="E18" s="181"/>
      <c r="F18" s="184"/>
      <c r="G18" s="183"/>
      <c r="H18" s="187"/>
      <c r="I18" s="181"/>
      <c r="J18" s="189"/>
      <c r="K18" s="181"/>
      <c r="L18" s="183"/>
      <c r="M18" s="184"/>
      <c r="N18" s="181"/>
      <c r="O18" s="191"/>
      <c r="P18" s="191"/>
      <c r="Q18" s="191"/>
      <c r="R18" s="191"/>
      <c r="S18" s="191"/>
      <c r="T18" s="183"/>
      <c r="U18" s="183"/>
    </row>
    <row r="19" spans="1:21" x14ac:dyDescent="0.45">
      <c r="A19" s="179"/>
      <c r="C19" s="181"/>
      <c r="D19" s="183"/>
      <c r="E19" s="181"/>
      <c r="F19" s="184"/>
      <c r="G19" s="183"/>
      <c r="H19" s="187"/>
      <c r="I19" s="181"/>
      <c r="J19" s="189"/>
      <c r="K19" s="181"/>
      <c r="L19" s="183"/>
      <c r="M19" s="184"/>
      <c r="N19" s="181"/>
      <c r="O19" s="191"/>
      <c r="P19" s="191"/>
      <c r="Q19" s="191"/>
      <c r="R19" s="191"/>
      <c r="S19" s="191"/>
      <c r="T19" s="183"/>
      <c r="U19" s="183"/>
    </row>
    <row r="20" spans="1:21" x14ac:dyDescent="0.45">
      <c r="A20" s="179"/>
      <c r="C20" s="181"/>
      <c r="D20" s="183"/>
      <c r="E20" s="181"/>
      <c r="F20" s="184"/>
      <c r="G20" s="183"/>
      <c r="H20" s="187"/>
      <c r="I20" s="181"/>
      <c r="J20" s="189"/>
      <c r="K20" s="181"/>
      <c r="L20" s="183"/>
      <c r="M20" s="184"/>
      <c r="N20" s="181"/>
      <c r="O20" s="191"/>
      <c r="P20" s="191"/>
      <c r="Q20" s="191"/>
      <c r="R20" s="191"/>
      <c r="S20" s="191"/>
      <c r="T20" s="183"/>
      <c r="U20" s="183"/>
    </row>
    <row r="21" spans="1:21" x14ac:dyDescent="0.45">
      <c r="A21" s="179"/>
      <c r="C21" s="181"/>
      <c r="D21" s="183"/>
      <c r="E21" s="181"/>
      <c r="F21" s="184"/>
      <c r="G21" s="183"/>
      <c r="H21" s="187"/>
      <c r="I21" s="181"/>
      <c r="J21" s="189"/>
      <c r="K21" s="181"/>
      <c r="L21" s="183"/>
      <c r="M21" s="184"/>
      <c r="N21" s="181"/>
      <c r="O21" s="191"/>
      <c r="P21" s="191"/>
      <c r="Q21" s="191"/>
      <c r="R21" s="191"/>
      <c r="S21" s="191"/>
      <c r="T21" s="183"/>
      <c r="U21" s="183"/>
    </row>
    <row r="22" spans="1:21" x14ac:dyDescent="0.45">
      <c r="A22" s="179"/>
      <c r="C22" s="181"/>
      <c r="D22" s="183"/>
      <c r="E22" s="181"/>
      <c r="F22" s="184"/>
      <c r="G22" s="183"/>
      <c r="H22" s="187"/>
      <c r="I22" s="181"/>
      <c r="J22" s="189"/>
      <c r="K22" s="181"/>
      <c r="L22" s="183"/>
      <c r="M22" s="184"/>
      <c r="N22" s="181"/>
      <c r="O22" s="191"/>
      <c r="P22" s="191"/>
      <c r="Q22" s="191"/>
      <c r="R22" s="191"/>
      <c r="S22" s="191"/>
      <c r="T22" s="183"/>
      <c r="U22" s="183"/>
    </row>
    <row r="23" spans="1:21" x14ac:dyDescent="0.45">
      <c r="A23" s="179"/>
      <c r="C23" s="181"/>
      <c r="D23" s="183"/>
      <c r="E23" s="181"/>
      <c r="F23" s="184"/>
      <c r="G23" s="183"/>
      <c r="H23" s="187"/>
      <c r="I23" s="181"/>
      <c r="J23" s="189"/>
      <c r="K23" s="181"/>
      <c r="L23" s="183"/>
      <c r="M23" s="184"/>
      <c r="N23" s="181"/>
      <c r="O23" s="191"/>
      <c r="P23" s="191"/>
      <c r="Q23" s="191"/>
      <c r="R23" s="191"/>
      <c r="S23" s="191"/>
      <c r="T23" s="183"/>
      <c r="U23" s="183"/>
    </row>
    <row r="24" spans="1:21" x14ac:dyDescent="0.45">
      <c r="A24" s="179"/>
      <c r="C24" s="181"/>
      <c r="D24" s="183"/>
      <c r="E24" s="181"/>
      <c r="F24" s="184"/>
      <c r="G24" s="183"/>
      <c r="H24" s="187"/>
      <c r="I24" s="181"/>
      <c r="J24" s="189"/>
      <c r="K24" s="181"/>
      <c r="L24" s="183"/>
      <c r="M24" s="184"/>
      <c r="N24" s="181"/>
      <c r="O24" s="191"/>
      <c r="P24" s="191"/>
      <c r="Q24" s="191"/>
      <c r="R24" s="191"/>
      <c r="S24" s="191"/>
      <c r="T24" s="183"/>
      <c r="U24" s="183"/>
    </row>
    <row r="25" spans="1:21" x14ac:dyDescent="0.45">
      <c r="A25" s="179"/>
      <c r="C25" s="181"/>
      <c r="D25" s="183"/>
      <c r="E25" s="181"/>
      <c r="F25" s="184"/>
      <c r="G25" s="183"/>
      <c r="H25" s="187"/>
      <c r="I25" s="181"/>
      <c r="J25" s="189"/>
      <c r="K25" s="181"/>
      <c r="L25" s="183"/>
      <c r="M25" s="184"/>
      <c r="N25" s="181"/>
      <c r="O25" s="191"/>
      <c r="P25" s="191"/>
      <c r="Q25" s="191"/>
      <c r="R25" s="191"/>
      <c r="S25" s="191"/>
      <c r="T25" s="183"/>
      <c r="U25" s="183"/>
    </row>
    <row r="26" spans="1:21" x14ac:dyDescent="0.45">
      <c r="A26" s="179"/>
      <c r="C26" s="181"/>
      <c r="D26" s="183"/>
      <c r="E26" s="181"/>
      <c r="F26" s="184"/>
      <c r="G26" s="183"/>
      <c r="H26" s="187"/>
      <c r="I26" s="181"/>
      <c r="J26" s="189"/>
      <c r="K26" s="181"/>
      <c r="L26" s="183"/>
      <c r="M26" s="184"/>
      <c r="N26" s="181"/>
      <c r="O26" s="191"/>
      <c r="P26" s="191"/>
      <c r="Q26" s="191"/>
      <c r="R26" s="191"/>
      <c r="S26" s="191"/>
      <c r="T26" s="183"/>
      <c r="U26" s="183"/>
    </row>
    <row r="27" spans="1:21" x14ac:dyDescent="0.45">
      <c r="A27" s="179"/>
      <c r="C27" s="181"/>
      <c r="D27" s="183"/>
      <c r="E27" s="181"/>
      <c r="F27" s="184"/>
      <c r="G27" s="183"/>
      <c r="H27" s="187"/>
      <c r="I27" s="181"/>
      <c r="J27" s="189"/>
      <c r="K27" s="181"/>
      <c r="L27" s="183"/>
      <c r="M27" s="184"/>
      <c r="N27" s="181"/>
      <c r="O27" s="191"/>
      <c r="P27" s="191"/>
      <c r="Q27" s="191"/>
      <c r="R27" s="191"/>
      <c r="S27" s="191"/>
      <c r="T27" s="183"/>
      <c r="U27" s="183"/>
    </row>
    <row r="28" spans="1:21" x14ac:dyDescent="0.45">
      <c r="A28" s="179"/>
      <c r="C28" s="181"/>
      <c r="D28" s="183"/>
      <c r="E28" s="181"/>
      <c r="F28" s="184"/>
      <c r="G28" s="183"/>
      <c r="H28" s="187"/>
      <c r="I28" s="181"/>
      <c r="J28" s="189"/>
      <c r="K28" s="181"/>
      <c r="L28" s="183"/>
      <c r="M28" s="184"/>
      <c r="N28" s="181"/>
      <c r="O28" s="191"/>
      <c r="P28" s="191"/>
      <c r="Q28" s="191"/>
      <c r="R28" s="191"/>
      <c r="S28" s="191"/>
      <c r="T28" s="183"/>
      <c r="U28" s="183"/>
    </row>
    <row r="29" spans="1:21" x14ac:dyDescent="0.45">
      <c r="A29" s="179"/>
      <c r="C29" s="181"/>
      <c r="D29" s="183"/>
      <c r="E29" s="181"/>
      <c r="F29" s="184"/>
      <c r="G29" s="183"/>
      <c r="H29" s="187"/>
      <c r="I29" s="181"/>
      <c r="J29" s="189"/>
      <c r="K29" s="181"/>
      <c r="L29" s="183"/>
      <c r="M29" s="184"/>
      <c r="N29" s="181"/>
      <c r="O29" s="191"/>
      <c r="P29" s="191"/>
      <c r="Q29" s="191"/>
      <c r="R29" s="191"/>
      <c r="S29" s="191"/>
      <c r="T29" s="183"/>
      <c r="U29" s="183"/>
    </row>
    <row r="30" spans="1:21" x14ac:dyDescent="0.45">
      <c r="A30" s="179"/>
      <c r="C30" s="181"/>
      <c r="D30" s="183"/>
      <c r="E30" s="181"/>
      <c r="F30" s="184"/>
      <c r="G30" s="183"/>
      <c r="H30" s="187"/>
      <c r="I30" s="181"/>
      <c r="J30" s="189"/>
      <c r="K30" s="181"/>
      <c r="L30" s="183"/>
      <c r="M30" s="184"/>
      <c r="N30" s="181"/>
      <c r="O30" s="191"/>
      <c r="P30" s="191"/>
      <c r="Q30" s="191"/>
      <c r="R30" s="191"/>
      <c r="S30" s="191"/>
      <c r="T30" s="183"/>
      <c r="U30" s="183"/>
    </row>
    <row r="31" spans="1:21" x14ac:dyDescent="0.45">
      <c r="A31" s="179"/>
      <c r="C31" s="181"/>
      <c r="D31" s="183"/>
      <c r="E31" s="181"/>
      <c r="F31" s="184"/>
      <c r="G31" s="183"/>
      <c r="H31" s="187"/>
      <c r="I31" s="181"/>
      <c r="J31" s="189"/>
      <c r="K31" s="181"/>
      <c r="L31" s="183"/>
      <c r="M31" s="184"/>
      <c r="N31" s="181"/>
      <c r="O31" s="191"/>
      <c r="P31" s="191"/>
      <c r="Q31" s="191"/>
      <c r="R31" s="191"/>
      <c r="S31" s="191"/>
      <c r="T31" s="183"/>
      <c r="U31" s="183"/>
    </row>
    <row r="32" spans="1:21" x14ac:dyDescent="0.45">
      <c r="A32" s="179"/>
      <c r="C32" s="181"/>
      <c r="D32" s="183"/>
      <c r="E32" s="181"/>
      <c r="F32" s="184"/>
      <c r="G32" s="183"/>
      <c r="H32" s="187"/>
      <c r="I32" s="181"/>
      <c r="J32" s="189"/>
      <c r="K32" s="181"/>
      <c r="L32" s="183"/>
      <c r="M32" s="184"/>
      <c r="N32" s="181"/>
      <c r="O32" s="191"/>
      <c r="P32" s="191"/>
      <c r="Q32" s="191"/>
      <c r="R32" s="191"/>
      <c r="S32" s="191"/>
      <c r="T32" s="183"/>
      <c r="U32" s="183"/>
    </row>
    <row r="33" spans="1:21" x14ac:dyDescent="0.45">
      <c r="A33" s="179"/>
      <c r="C33" s="181"/>
      <c r="D33" s="183"/>
      <c r="E33" s="181"/>
      <c r="F33" s="184"/>
      <c r="G33" s="183"/>
      <c r="H33" s="187"/>
      <c r="I33" s="181"/>
      <c r="J33" s="189"/>
      <c r="K33" s="181"/>
      <c r="L33" s="183"/>
      <c r="M33" s="184"/>
      <c r="N33" s="181"/>
      <c r="O33" s="191"/>
      <c r="P33" s="191"/>
      <c r="Q33" s="191"/>
      <c r="R33" s="191"/>
      <c r="S33" s="191"/>
      <c r="T33" s="183"/>
      <c r="U33" s="183"/>
    </row>
    <row r="34" spans="1:21" x14ac:dyDescent="0.45">
      <c r="A34" s="179"/>
      <c r="C34" s="181"/>
      <c r="D34" s="183"/>
      <c r="E34" s="181"/>
      <c r="F34" s="184"/>
      <c r="G34" s="183"/>
      <c r="H34" s="187"/>
      <c r="I34" s="181"/>
      <c r="J34" s="189"/>
      <c r="K34" s="181"/>
      <c r="L34" s="183"/>
      <c r="M34" s="184"/>
      <c r="N34" s="181"/>
      <c r="O34" s="191"/>
      <c r="P34" s="191"/>
      <c r="Q34" s="191"/>
      <c r="R34" s="191"/>
      <c r="S34" s="191"/>
      <c r="T34" s="183"/>
      <c r="U34" s="183"/>
    </row>
    <row r="35" spans="1:21" x14ac:dyDescent="0.45">
      <c r="A35" s="179"/>
      <c r="C35" s="181"/>
      <c r="D35" s="183"/>
      <c r="E35" s="181"/>
      <c r="F35" s="184"/>
      <c r="G35" s="183"/>
      <c r="H35" s="187"/>
      <c r="I35" s="181"/>
      <c r="J35" s="189"/>
      <c r="K35" s="181"/>
      <c r="L35" s="183"/>
      <c r="M35" s="184"/>
      <c r="N35" s="181"/>
      <c r="O35" s="191"/>
      <c r="P35" s="191"/>
      <c r="Q35" s="191"/>
      <c r="R35" s="191"/>
      <c r="S35" s="191"/>
      <c r="T35" s="183"/>
      <c r="U35" s="183"/>
    </row>
    <row r="36" spans="1:21" x14ac:dyDescent="0.45">
      <c r="A36" s="179"/>
      <c r="C36" s="181"/>
      <c r="D36" s="183"/>
      <c r="E36" s="181"/>
      <c r="F36" s="184"/>
      <c r="G36" s="183"/>
      <c r="H36" s="187"/>
      <c r="I36" s="181"/>
      <c r="J36" s="189"/>
      <c r="K36" s="181"/>
      <c r="L36" s="183"/>
      <c r="M36" s="184"/>
      <c r="N36" s="181"/>
      <c r="O36" s="191"/>
      <c r="P36" s="191"/>
      <c r="Q36" s="191"/>
      <c r="R36" s="191"/>
      <c r="S36" s="191"/>
      <c r="T36" s="183"/>
      <c r="U36" s="183"/>
    </row>
    <row r="37" spans="1:21" x14ac:dyDescent="0.45">
      <c r="A37" s="179"/>
      <c r="C37" s="181"/>
      <c r="D37" s="183"/>
      <c r="E37" s="181"/>
      <c r="F37" s="184"/>
      <c r="G37" s="183"/>
      <c r="H37" s="187"/>
      <c r="I37" s="181"/>
      <c r="J37" s="189"/>
      <c r="K37" s="181"/>
      <c r="L37" s="183"/>
      <c r="M37" s="184"/>
      <c r="N37" s="181"/>
      <c r="O37" s="191"/>
      <c r="P37" s="191"/>
      <c r="Q37" s="191"/>
      <c r="R37" s="191"/>
      <c r="S37" s="191"/>
      <c r="T37" s="183"/>
      <c r="U37" s="183"/>
    </row>
    <row r="38" spans="1:21" x14ac:dyDescent="0.45">
      <c r="A38" s="179"/>
      <c r="C38" s="181"/>
      <c r="D38" s="183"/>
      <c r="E38" s="181"/>
      <c r="F38" s="184"/>
      <c r="G38" s="183"/>
      <c r="H38" s="187"/>
      <c r="I38" s="181"/>
      <c r="J38" s="189"/>
      <c r="K38" s="181"/>
      <c r="L38" s="183"/>
      <c r="M38" s="184"/>
      <c r="N38" s="181"/>
      <c r="O38" s="191"/>
      <c r="P38" s="191"/>
      <c r="Q38" s="191"/>
      <c r="R38" s="191"/>
      <c r="S38" s="191"/>
      <c r="T38" s="183"/>
      <c r="U38" s="183"/>
    </row>
    <row r="39" spans="1:21" x14ac:dyDescent="0.45">
      <c r="A39" s="179"/>
      <c r="C39" s="181"/>
      <c r="D39" s="183"/>
      <c r="E39" s="181"/>
      <c r="F39" s="184"/>
      <c r="G39" s="183"/>
      <c r="H39" s="187"/>
      <c r="I39" s="181"/>
      <c r="J39" s="189"/>
      <c r="K39" s="181"/>
      <c r="L39" s="183"/>
      <c r="M39" s="184"/>
      <c r="N39" s="181"/>
      <c r="O39" s="191"/>
      <c r="P39" s="191"/>
      <c r="Q39" s="191"/>
      <c r="R39" s="191"/>
      <c r="S39" s="191"/>
      <c r="T39" s="183"/>
      <c r="U39" s="183"/>
    </row>
    <row r="40" spans="1:21" x14ac:dyDescent="0.45">
      <c r="A40" s="179"/>
      <c r="C40" s="181"/>
      <c r="D40" s="183"/>
      <c r="E40" s="181"/>
      <c r="F40" s="184"/>
      <c r="G40" s="183"/>
      <c r="H40" s="187"/>
      <c r="I40" s="181"/>
      <c r="J40" s="189"/>
      <c r="K40" s="181"/>
      <c r="L40" s="183"/>
      <c r="M40" s="184"/>
      <c r="N40" s="181"/>
      <c r="O40" s="191"/>
      <c r="P40" s="191"/>
      <c r="Q40" s="191"/>
      <c r="R40" s="191"/>
      <c r="S40" s="191"/>
      <c r="T40" s="183"/>
      <c r="U40" s="183"/>
    </row>
    <row r="41" spans="1:21" x14ac:dyDescent="0.45">
      <c r="A41" s="179"/>
      <c r="C41" s="181"/>
      <c r="D41" s="183"/>
      <c r="E41" s="181"/>
      <c r="F41" s="184"/>
      <c r="G41" s="183"/>
      <c r="H41" s="187"/>
      <c r="I41" s="181"/>
      <c r="J41" s="189"/>
      <c r="K41" s="181"/>
      <c r="L41" s="183"/>
      <c r="M41" s="184"/>
      <c r="N41" s="181"/>
      <c r="O41" s="191"/>
      <c r="P41" s="191"/>
      <c r="Q41" s="191"/>
      <c r="R41" s="191"/>
      <c r="S41" s="191"/>
      <c r="T41" s="183"/>
      <c r="U41" s="183"/>
    </row>
    <row r="42" spans="1:21" x14ac:dyDescent="0.45">
      <c r="A42" s="179"/>
      <c r="C42" s="181"/>
      <c r="D42" s="183"/>
      <c r="E42" s="181"/>
      <c r="F42" s="184"/>
      <c r="G42" s="183"/>
      <c r="H42" s="187"/>
      <c r="I42" s="181"/>
      <c r="J42" s="189"/>
      <c r="K42" s="181"/>
      <c r="L42" s="183"/>
      <c r="M42" s="184"/>
      <c r="N42" s="181"/>
      <c r="O42" s="191"/>
      <c r="P42" s="191"/>
      <c r="Q42" s="191"/>
      <c r="R42" s="191"/>
      <c r="S42" s="191"/>
      <c r="T42" s="183"/>
      <c r="U42" s="183"/>
    </row>
    <row r="43" spans="1:21" x14ac:dyDescent="0.45">
      <c r="A43" s="179"/>
      <c r="C43" s="181"/>
      <c r="D43" s="183"/>
      <c r="E43" s="181"/>
      <c r="F43" s="184"/>
      <c r="G43" s="183"/>
      <c r="H43" s="187"/>
      <c r="I43" s="181"/>
      <c r="J43" s="189"/>
      <c r="K43" s="181"/>
      <c r="L43" s="183"/>
      <c r="M43" s="184"/>
      <c r="N43" s="181"/>
      <c r="O43" s="191"/>
      <c r="P43" s="191"/>
      <c r="Q43" s="191"/>
      <c r="R43" s="191"/>
      <c r="S43" s="191"/>
      <c r="T43" s="183"/>
      <c r="U43" s="183"/>
    </row>
    <row r="44" spans="1:21" x14ac:dyDescent="0.45">
      <c r="A44" s="179"/>
      <c r="C44" s="181"/>
      <c r="D44" s="183"/>
      <c r="E44" s="181"/>
      <c r="F44" s="184"/>
      <c r="G44" s="183"/>
      <c r="H44" s="187"/>
      <c r="I44" s="181"/>
      <c r="J44" s="189"/>
      <c r="K44" s="181"/>
      <c r="L44" s="183"/>
      <c r="M44" s="184"/>
      <c r="N44" s="181"/>
      <c r="O44" s="191"/>
      <c r="P44" s="191"/>
      <c r="Q44" s="191"/>
      <c r="R44" s="191"/>
      <c r="S44" s="191"/>
      <c r="T44" s="183"/>
      <c r="U44" s="183"/>
    </row>
    <row r="45" spans="1:21" x14ac:dyDescent="0.45">
      <c r="A45" s="179"/>
      <c r="C45" s="181"/>
      <c r="D45" s="183"/>
      <c r="E45" s="181"/>
      <c r="F45" s="184"/>
      <c r="G45" s="183"/>
      <c r="H45" s="187"/>
      <c r="I45" s="181"/>
      <c r="J45" s="189"/>
      <c r="K45" s="181"/>
      <c r="L45" s="183"/>
      <c r="M45" s="184"/>
      <c r="N45" s="181"/>
      <c r="O45" s="191"/>
      <c r="P45" s="191"/>
      <c r="Q45" s="191"/>
      <c r="R45" s="191"/>
      <c r="S45" s="191"/>
      <c r="T45" s="183"/>
      <c r="U45" s="183"/>
    </row>
    <row r="46" spans="1:21" x14ac:dyDescent="0.45">
      <c r="A46" s="179"/>
      <c r="C46" s="181"/>
      <c r="D46" s="183"/>
      <c r="E46" s="181"/>
      <c r="F46" s="184"/>
      <c r="G46" s="183"/>
      <c r="H46" s="187"/>
      <c r="I46" s="181"/>
      <c r="J46" s="189"/>
      <c r="K46" s="181"/>
      <c r="L46" s="183"/>
      <c r="M46" s="184"/>
      <c r="N46" s="181"/>
      <c r="O46" s="191"/>
      <c r="P46" s="191"/>
      <c r="Q46" s="191"/>
      <c r="R46" s="191"/>
      <c r="S46" s="191"/>
      <c r="T46" s="183"/>
      <c r="U46" s="183"/>
    </row>
    <row r="47" spans="1:21" x14ac:dyDescent="0.45">
      <c r="A47" s="179"/>
      <c r="C47" s="181"/>
      <c r="D47" s="183"/>
      <c r="E47" s="181"/>
      <c r="F47" s="184"/>
      <c r="G47" s="183"/>
      <c r="H47" s="187"/>
      <c r="I47" s="181"/>
      <c r="J47" s="189"/>
      <c r="K47" s="181"/>
      <c r="L47" s="183"/>
      <c r="M47" s="184"/>
      <c r="N47" s="181"/>
      <c r="O47" s="191"/>
      <c r="P47" s="191"/>
      <c r="Q47" s="191"/>
      <c r="R47" s="191"/>
      <c r="S47" s="191"/>
      <c r="T47" s="183"/>
      <c r="U47" s="183"/>
    </row>
    <row r="48" spans="1:21" x14ac:dyDescent="0.45">
      <c r="A48" s="179"/>
      <c r="C48" s="181"/>
      <c r="D48" s="183"/>
      <c r="E48" s="181"/>
      <c r="F48" s="184"/>
      <c r="G48" s="183"/>
      <c r="H48" s="187"/>
      <c r="I48" s="181"/>
      <c r="J48" s="189"/>
      <c r="K48" s="181"/>
      <c r="L48" s="183"/>
      <c r="M48" s="184"/>
      <c r="N48" s="181"/>
      <c r="O48" s="191"/>
      <c r="P48" s="191"/>
      <c r="Q48" s="191"/>
      <c r="R48" s="191"/>
      <c r="S48" s="191"/>
      <c r="T48" s="183"/>
      <c r="U48" s="183"/>
    </row>
    <row r="49" spans="1:21" x14ac:dyDescent="0.45">
      <c r="A49" s="179"/>
      <c r="C49" s="181"/>
      <c r="D49" s="183"/>
      <c r="E49" s="181"/>
      <c r="F49" s="184"/>
      <c r="G49" s="183"/>
      <c r="H49" s="187"/>
      <c r="I49" s="181"/>
      <c r="J49" s="189"/>
      <c r="K49" s="181"/>
      <c r="L49" s="183"/>
      <c r="M49" s="184"/>
      <c r="N49" s="181"/>
      <c r="O49" s="191"/>
      <c r="P49" s="191"/>
      <c r="Q49" s="191"/>
      <c r="R49" s="191"/>
      <c r="S49" s="191"/>
      <c r="T49" s="183"/>
      <c r="U49" s="183"/>
    </row>
    <row r="50" spans="1:21" x14ac:dyDescent="0.45">
      <c r="A50" s="179"/>
      <c r="C50" s="181"/>
      <c r="D50" s="183"/>
      <c r="E50" s="181"/>
      <c r="F50" s="184"/>
      <c r="G50" s="183"/>
      <c r="H50" s="187"/>
      <c r="I50" s="181"/>
      <c r="J50" s="189"/>
      <c r="K50" s="181"/>
      <c r="L50" s="183"/>
      <c r="M50" s="184"/>
      <c r="N50" s="181"/>
      <c r="O50" s="191"/>
      <c r="P50" s="191"/>
      <c r="Q50" s="191"/>
      <c r="R50" s="191"/>
      <c r="S50" s="191"/>
      <c r="T50" s="183"/>
      <c r="U50" s="183"/>
    </row>
    <row r="51" spans="1:21" x14ac:dyDescent="0.45">
      <c r="A51" s="179"/>
      <c r="C51" s="181"/>
      <c r="D51" s="183"/>
      <c r="E51" s="181"/>
      <c r="F51" s="184"/>
      <c r="G51" s="183"/>
      <c r="H51" s="187"/>
      <c r="I51" s="181"/>
      <c r="J51" s="189"/>
      <c r="K51" s="181"/>
      <c r="L51" s="183"/>
      <c r="M51" s="184"/>
      <c r="N51" s="181"/>
      <c r="O51" s="191"/>
      <c r="P51" s="191"/>
      <c r="Q51" s="191"/>
      <c r="R51" s="191"/>
      <c r="S51" s="191"/>
      <c r="T51" s="183"/>
      <c r="U51" s="183"/>
    </row>
    <row r="52" spans="1:21" x14ac:dyDescent="0.45">
      <c r="A52" s="179"/>
      <c r="C52" s="181"/>
      <c r="D52" s="183"/>
      <c r="E52" s="181"/>
      <c r="F52" s="184"/>
      <c r="G52" s="183"/>
      <c r="H52" s="187"/>
      <c r="I52" s="181"/>
      <c r="J52" s="189"/>
      <c r="K52" s="181"/>
      <c r="L52" s="183"/>
      <c r="M52" s="184"/>
      <c r="N52" s="181"/>
      <c r="O52" s="191"/>
      <c r="P52" s="191"/>
      <c r="Q52" s="191"/>
      <c r="R52" s="191"/>
      <c r="S52" s="191"/>
      <c r="T52" s="183"/>
      <c r="U52" s="183"/>
    </row>
    <row r="53" spans="1:21" x14ac:dyDescent="0.45">
      <c r="A53" s="179"/>
      <c r="C53" s="181"/>
      <c r="D53" s="183"/>
      <c r="E53" s="181"/>
      <c r="F53" s="184"/>
      <c r="G53" s="183"/>
      <c r="H53" s="187"/>
      <c r="I53" s="181"/>
      <c r="J53" s="189"/>
      <c r="K53" s="181"/>
      <c r="L53" s="183"/>
      <c r="M53" s="184"/>
      <c r="N53" s="181"/>
      <c r="O53" s="191"/>
      <c r="P53" s="191"/>
      <c r="Q53" s="191"/>
      <c r="R53" s="191"/>
      <c r="S53" s="191"/>
      <c r="T53" s="183"/>
      <c r="U53" s="183"/>
    </row>
    <row r="54" spans="1:21" x14ac:dyDescent="0.45">
      <c r="A54" s="179"/>
      <c r="C54" s="181"/>
      <c r="D54" s="183"/>
      <c r="E54" s="181"/>
      <c r="F54" s="184"/>
      <c r="G54" s="183"/>
      <c r="H54" s="187"/>
      <c r="I54" s="181"/>
      <c r="J54" s="189"/>
      <c r="K54" s="181"/>
      <c r="L54" s="183"/>
      <c r="M54" s="184"/>
      <c r="N54" s="181"/>
      <c r="O54" s="191"/>
      <c r="P54" s="191"/>
      <c r="Q54" s="191"/>
      <c r="R54" s="191"/>
      <c r="S54" s="191"/>
      <c r="T54" s="183"/>
      <c r="U54" s="183"/>
    </row>
    <row r="55" spans="1:21" x14ac:dyDescent="0.45">
      <c r="A55" s="179"/>
      <c r="C55" s="181"/>
      <c r="D55" s="183"/>
      <c r="E55" s="181"/>
      <c r="F55" s="184"/>
      <c r="G55" s="183"/>
      <c r="H55" s="187"/>
      <c r="I55" s="181"/>
      <c r="J55" s="189"/>
      <c r="K55" s="181"/>
      <c r="L55" s="183"/>
      <c r="M55" s="184"/>
      <c r="N55" s="181"/>
      <c r="O55" s="191"/>
      <c r="P55" s="191"/>
      <c r="Q55" s="191"/>
      <c r="R55" s="191"/>
      <c r="S55" s="191"/>
      <c r="T55" s="183"/>
      <c r="U55" s="183"/>
    </row>
    <row r="56" spans="1:21" x14ac:dyDescent="0.45">
      <c r="A56" s="179"/>
      <c r="C56" s="181"/>
      <c r="D56" s="183"/>
      <c r="E56" s="181"/>
      <c r="F56" s="184"/>
      <c r="G56" s="183"/>
      <c r="H56" s="187"/>
      <c r="I56" s="181"/>
      <c r="J56" s="189"/>
      <c r="K56" s="181"/>
      <c r="L56" s="183"/>
      <c r="M56" s="184"/>
      <c r="N56" s="181"/>
      <c r="O56" s="191"/>
      <c r="P56" s="191"/>
      <c r="Q56" s="191"/>
      <c r="R56" s="191"/>
      <c r="S56" s="191"/>
      <c r="T56" s="183"/>
      <c r="U56" s="183"/>
    </row>
    <row r="57" spans="1:21" x14ac:dyDescent="0.45">
      <c r="A57" s="179"/>
      <c r="C57" s="181"/>
      <c r="D57" s="183"/>
      <c r="E57" s="181"/>
      <c r="F57" s="184"/>
      <c r="G57" s="183"/>
      <c r="H57" s="187"/>
      <c r="I57" s="181"/>
      <c r="J57" s="189"/>
      <c r="K57" s="181"/>
      <c r="L57" s="183"/>
      <c r="M57" s="184"/>
      <c r="N57" s="181"/>
      <c r="O57" s="191"/>
      <c r="P57" s="191"/>
      <c r="Q57" s="191"/>
      <c r="R57" s="191"/>
      <c r="S57" s="191"/>
      <c r="T57" s="183"/>
      <c r="U57" s="183"/>
    </row>
    <row r="58" spans="1:21" x14ac:dyDescent="0.45">
      <c r="A58" s="179"/>
      <c r="C58" s="181"/>
      <c r="D58" s="183"/>
      <c r="E58" s="181"/>
      <c r="F58" s="184"/>
      <c r="G58" s="183"/>
      <c r="H58" s="187"/>
      <c r="I58" s="181"/>
      <c r="J58" s="189"/>
      <c r="K58" s="181"/>
      <c r="L58" s="183"/>
      <c r="M58" s="184"/>
      <c r="N58" s="181"/>
      <c r="O58" s="191"/>
      <c r="P58" s="191"/>
      <c r="Q58" s="191"/>
      <c r="R58" s="191"/>
      <c r="S58" s="191"/>
      <c r="T58" s="183"/>
      <c r="U58" s="183"/>
    </row>
    <row r="59" spans="1:21" x14ac:dyDescent="0.45">
      <c r="A59" s="179"/>
      <c r="C59" s="181"/>
      <c r="D59" s="183"/>
      <c r="E59" s="181"/>
      <c r="F59" s="184"/>
      <c r="G59" s="183"/>
      <c r="H59" s="187"/>
      <c r="I59" s="181"/>
      <c r="J59" s="189"/>
      <c r="K59" s="181"/>
      <c r="L59" s="183"/>
      <c r="M59" s="184"/>
      <c r="N59" s="181"/>
      <c r="O59" s="191"/>
      <c r="P59" s="191"/>
      <c r="Q59" s="191"/>
      <c r="R59" s="191"/>
      <c r="S59" s="191"/>
      <c r="T59" s="183"/>
      <c r="U59" s="183"/>
    </row>
    <row r="60" spans="1:21" x14ac:dyDescent="0.45">
      <c r="A60" s="179"/>
      <c r="C60" s="181"/>
      <c r="D60" s="183"/>
      <c r="E60" s="181"/>
      <c r="F60" s="184"/>
      <c r="G60" s="183"/>
      <c r="H60" s="187"/>
      <c r="I60" s="181"/>
      <c r="J60" s="189"/>
      <c r="K60" s="181"/>
      <c r="L60" s="183"/>
      <c r="M60" s="184"/>
      <c r="N60" s="181"/>
      <c r="O60" s="191"/>
      <c r="P60" s="191"/>
      <c r="Q60" s="191"/>
      <c r="R60" s="191"/>
      <c r="S60" s="191"/>
      <c r="T60" s="183"/>
      <c r="U60" s="183"/>
    </row>
    <row r="61" spans="1:21" x14ac:dyDescent="0.45">
      <c r="A61" s="179"/>
      <c r="C61" s="181"/>
      <c r="D61" s="183"/>
      <c r="E61" s="181"/>
      <c r="F61" s="184"/>
      <c r="G61" s="183"/>
      <c r="H61" s="187"/>
      <c r="I61" s="181"/>
      <c r="J61" s="189"/>
      <c r="K61" s="181"/>
      <c r="L61" s="183"/>
      <c r="M61" s="184"/>
      <c r="N61" s="181"/>
      <c r="O61" s="191"/>
      <c r="P61" s="191"/>
      <c r="Q61" s="191"/>
      <c r="R61" s="191"/>
      <c r="S61" s="191"/>
      <c r="T61" s="183"/>
      <c r="U61" s="183"/>
    </row>
    <row r="62" spans="1:21" x14ac:dyDescent="0.45">
      <c r="A62" s="179"/>
      <c r="C62" s="181"/>
      <c r="D62" s="183"/>
      <c r="E62" s="181"/>
      <c r="F62" s="184"/>
      <c r="G62" s="183"/>
      <c r="H62" s="187"/>
      <c r="I62" s="181"/>
      <c r="J62" s="189"/>
      <c r="K62" s="181"/>
      <c r="L62" s="183"/>
      <c r="M62" s="184"/>
      <c r="N62" s="181"/>
      <c r="O62" s="191"/>
      <c r="P62" s="191"/>
      <c r="Q62" s="191"/>
      <c r="R62" s="191"/>
      <c r="S62" s="191"/>
      <c r="T62" s="183"/>
      <c r="U62" s="183"/>
    </row>
    <row r="63" spans="1:21" x14ac:dyDescent="0.45">
      <c r="A63" s="179"/>
      <c r="C63" s="181"/>
      <c r="D63" s="183"/>
      <c r="E63" s="181"/>
      <c r="F63" s="184"/>
      <c r="G63" s="183"/>
      <c r="H63" s="187"/>
      <c r="I63" s="181"/>
      <c r="J63" s="189"/>
      <c r="K63" s="181"/>
      <c r="L63" s="183"/>
      <c r="M63" s="184"/>
      <c r="N63" s="181"/>
      <c r="O63" s="191"/>
      <c r="P63" s="191"/>
      <c r="Q63" s="191"/>
      <c r="R63" s="191"/>
      <c r="S63" s="191"/>
      <c r="T63" s="183"/>
      <c r="U63" s="183"/>
    </row>
    <row r="64" spans="1:21" x14ac:dyDescent="0.45">
      <c r="A64" s="179"/>
      <c r="C64" s="181"/>
      <c r="D64" s="183"/>
      <c r="E64" s="181"/>
      <c r="F64" s="184"/>
      <c r="G64" s="183"/>
      <c r="H64" s="187"/>
      <c r="I64" s="181"/>
      <c r="J64" s="189"/>
      <c r="K64" s="181"/>
      <c r="L64" s="183"/>
      <c r="M64" s="184"/>
      <c r="N64" s="181"/>
      <c r="O64" s="191"/>
      <c r="P64" s="191"/>
      <c r="Q64" s="191"/>
      <c r="R64" s="191"/>
      <c r="S64" s="191"/>
      <c r="T64" s="183"/>
      <c r="U64" s="183"/>
    </row>
    <row r="65" spans="1:21" x14ac:dyDescent="0.45">
      <c r="A65" s="179"/>
      <c r="C65" s="181"/>
      <c r="D65" s="183"/>
      <c r="E65" s="181"/>
      <c r="F65" s="184"/>
      <c r="G65" s="183"/>
      <c r="H65" s="187"/>
      <c r="I65" s="181"/>
      <c r="J65" s="189"/>
      <c r="K65" s="181"/>
      <c r="L65" s="183"/>
      <c r="M65" s="184"/>
      <c r="N65" s="181"/>
      <c r="O65" s="191"/>
      <c r="P65" s="191"/>
      <c r="Q65" s="191"/>
      <c r="R65" s="191"/>
      <c r="S65" s="191"/>
      <c r="T65" s="183"/>
      <c r="U65" s="183"/>
    </row>
    <row r="66" spans="1:21" x14ac:dyDescent="0.45">
      <c r="A66" s="179"/>
      <c r="C66" s="181"/>
      <c r="D66" s="183"/>
      <c r="E66" s="181"/>
      <c r="F66" s="184"/>
      <c r="G66" s="183"/>
      <c r="H66" s="187"/>
      <c r="I66" s="181"/>
      <c r="J66" s="189"/>
      <c r="K66" s="181"/>
      <c r="L66" s="183"/>
      <c r="M66" s="184"/>
      <c r="N66" s="181"/>
      <c r="O66" s="191"/>
      <c r="P66" s="191"/>
      <c r="Q66" s="191"/>
      <c r="R66" s="191"/>
      <c r="S66" s="191"/>
      <c r="T66" s="183"/>
      <c r="U66" s="183"/>
    </row>
    <row r="67" spans="1:21" x14ac:dyDescent="0.45">
      <c r="A67" s="179"/>
      <c r="C67" s="181"/>
      <c r="D67" s="183"/>
      <c r="E67" s="181"/>
      <c r="F67" s="184"/>
      <c r="G67" s="183"/>
      <c r="H67" s="187"/>
      <c r="I67" s="181"/>
      <c r="J67" s="189"/>
      <c r="K67" s="181"/>
      <c r="L67" s="183"/>
      <c r="M67" s="184"/>
      <c r="N67" s="181"/>
      <c r="O67" s="191"/>
      <c r="P67" s="191"/>
      <c r="Q67" s="191"/>
      <c r="R67" s="191"/>
      <c r="S67" s="191"/>
      <c r="T67" s="183"/>
      <c r="U67" s="183"/>
    </row>
    <row r="68" spans="1:21" x14ac:dyDescent="0.45">
      <c r="A68" s="179"/>
      <c r="C68" s="181"/>
      <c r="D68" s="183"/>
      <c r="E68" s="181"/>
      <c r="F68" s="184"/>
      <c r="G68" s="183"/>
      <c r="H68" s="187"/>
      <c r="I68" s="181"/>
      <c r="J68" s="189"/>
      <c r="K68" s="181"/>
      <c r="L68" s="183"/>
      <c r="M68" s="184"/>
      <c r="N68" s="181"/>
      <c r="O68" s="191"/>
      <c r="P68" s="191"/>
      <c r="Q68" s="191"/>
      <c r="R68" s="191"/>
      <c r="S68" s="191"/>
      <c r="T68" s="183"/>
      <c r="U68" s="183"/>
    </row>
    <row r="69" spans="1:21" x14ac:dyDescent="0.45">
      <c r="A69" s="179"/>
      <c r="C69" s="181"/>
      <c r="D69" s="183"/>
      <c r="E69" s="181"/>
      <c r="F69" s="184"/>
      <c r="G69" s="183"/>
      <c r="H69" s="187"/>
      <c r="I69" s="181"/>
      <c r="J69" s="189"/>
      <c r="K69" s="181"/>
      <c r="L69" s="183"/>
      <c r="M69" s="184"/>
      <c r="N69" s="181"/>
      <c r="O69" s="191"/>
      <c r="P69" s="191"/>
      <c r="Q69" s="191"/>
      <c r="R69" s="191"/>
      <c r="S69" s="191"/>
      <c r="T69" s="183"/>
      <c r="U69" s="183"/>
    </row>
    <row r="70" spans="1:21" x14ac:dyDescent="0.45">
      <c r="A70" s="179"/>
      <c r="C70" s="181"/>
      <c r="D70" s="183"/>
      <c r="E70" s="181"/>
      <c r="F70" s="184"/>
      <c r="G70" s="183"/>
      <c r="H70" s="187"/>
      <c r="I70" s="181"/>
      <c r="J70" s="189"/>
      <c r="K70" s="181"/>
      <c r="L70" s="183"/>
      <c r="M70" s="184"/>
      <c r="N70" s="181"/>
      <c r="O70" s="191"/>
      <c r="P70" s="191"/>
      <c r="Q70" s="191"/>
      <c r="R70" s="191"/>
      <c r="S70" s="191"/>
      <c r="T70" s="183"/>
      <c r="U70" s="183"/>
    </row>
    <row r="71" spans="1:21" x14ac:dyDescent="0.45">
      <c r="A71" s="179"/>
      <c r="C71" s="181"/>
      <c r="D71" s="183"/>
      <c r="E71" s="181"/>
      <c r="F71" s="184"/>
      <c r="G71" s="183"/>
      <c r="H71" s="187"/>
      <c r="I71" s="181"/>
      <c r="J71" s="189"/>
      <c r="K71" s="181"/>
      <c r="L71" s="183"/>
      <c r="M71" s="184"/>
      <c r="N71" s="181"/>
      <c r="O71" s="191"/>
      <c r="P71" s="191"/>
      <c r="Q71" s="191"/>
      <c r="R71" s="191"/>
      <c r="S71" s="191"/>
      <c r="T71" s="183"/>
      <c r="U71" s="183"/>
    </row>
    <row r="72" spans="1:21" x14ac:dyDescent="0.45">
      <c r="A72" s="179"/>
      <c r="C72" s="181"/>
      <c r="D72" s="183"/>
      <c r="E72" s="181"/>
      <c r="F72" s="184"/>
      <c r="G72" s="183"/>
      <c r="H72" s="187"/>
      <c r="I72" s="181"/>
      <c r="J72" s="189"/>
      <c r="K72" s="181"/>
      <c r="L72" s="183"/>
      <c r="M72" s="184"/>
      <c r="N72" s="181"/>
      <c r="O72" s="191"/>
      <c r="P72" s="191"/>
      <c r="Q72" s="191"/>
      <c r="R72" s="191"/>
      <c r="S72" s="191"/>
      <c r="T72" s="183"/>
      <c r="U72" s="183"/>
    </row>
    <row r="73" spans="1:21" x14ac:dyDescent="0.45">
      <c r="A73" s="179"/>
      <c r="C73" s="181"/>
      <c r="D73" s="183"/>
      <c r="E73" s="181"/>
      <c r="F73" s="184"/>
      <c r="G73" s="183"/>
      <c r="H73" s="187"/>
      <c r="I73" s="181"/>
      <c r="J73" s="189"/>
      <c r="K73" s="181"/>
      <c r="L73" s="183"/>
      <c r="M73" s="184"/>
      <c r="N73" s="181"/>
      <c r="O73" s="191"/>
      <c r="P73" s="191"/>
      <c r="Q73" s="191"/>
      <c r="R73" s="191"/>
      <c r="S73" s="191"/>
      <c r="T73" s="183"/>
      <c r="U73" s="183"/>
    </row>
    <row r="74" spans="1:21" x14ac:dyDescent="0.45">
      <c r="A74" s="179"/>
      <c r="C74" s="181"/>
      <c r="D74" s="183"/>
      <c r="E74" s="181"/>
      <c r="F74" s="184"/>
      <c r="G74" s="183"/>
      <c r="H74" s="187"/>
      <c r="I74" s="181"/>
      <c r="J74" s="189"/>
      <c r="K74" s="181"/>
      <c r="L74" s="183"/>
      <c r="M74" s="184"/>
      <c r="N74" s="181"/>
      <c r="O74" s="191"/>
      <c r="P74" s="191"/>
      <c r="Q74" s="191"/>
      <c r="R74" s="191"/>
      <c r="S74" s="191"/>
      <c r="T74" s="183"/>
      <c r="U74" s="183"/>
    </row>
    <row r="75" spans="1:21" x14ac:dyDescent="0.45">
      <c r="A75" s="179"/>
      <c r="C75" s="181"/>
      <c r="D75" s="183"/>
      <c r="E75" s="181"/>
      <c r="F75" s="184"/>
      <c r="G75" s="183"/>
      <c r="H75" s="187"/>
      <c r="I75" s="181"/>
      <c r="J75" s="189"/>
      <c r="K75" s="181"/>
      <c r="L75" s="183"/>
      <c r="M75" s="184"/>
      <c r="N75" s="181"/>
      <c r="O75" s="191"/>
      <c r="P75" s="191"/>
      <c r="Q75" s="191"/>
      <c r="R75" s="191"/>
      <c r="S75" s="191"/>
      <c r="T75" s="183"/>
      <c r="U75" s="183"/>
    </row>
    <row r="76" spans="1:21" x14ac:dyDescent="0.45">
      <c r="A76" s="179"/>
      <c r="C76" s="181"/>
      <c r="D76" s="183"/>
      <c r="E76" s="181"/>
      <c r="F76" s="184"/>
      <c r="G76" s="183"/>
      <c r="H76" s="187"/>
      <c r="I76" s="181"/>
      <c r="J76" s="189"/>
      <c r="K76" s="181"/>
      <c r="L76" s="183"/>
      <c r="M76" s="184"/>
      <c r="N76" s="181"/>
      <c r="O76" s="191"/>
      <c r="P76" s="191"/>
      <c r="Q76" s="191"/>
      <c r="R76" s="191"/>
      <c r="S76" s="191"/>
      <c r="T76" s="183"/>
      <c r="U76" s="183"/>
    </row>
    <row r="77" spans="1:21" x14ac:dyDescent="0.45">
      <c r="A77" s="179"/>
      <c r="C77" s="181"/>
      <c r="D77" s="183"/>
      <c r="E77" s="181"/>
      <c r="F77" s="184"/>
      <c r="G77" s="183"/>
      <c r="H77" s="187"/>
      <c r="I77" s="181"/>
      <c r="J77" s="189"/>
      <c r="K77" s="181"/>
      <c r="L77" s="183"/>
      <c r="M77" s="184"/>
      <c r="N77" s="181"/>
      <c r="O77" s="191"/>
      <c r="P77" s="191"/>
      <c r="Q77" s="191"/>
      <c r="R77" s="191"/>
      <c r="S77" s="191"/>
      <c r="T77" s="183"/>
      <c r="U77" s="183"/>
    </row>
    <row r="78" spans="1:21" x14ac:dyDescent="0.45">
      <c r="A78" s="179"/>
      <c r="C78" s="181"/>
      <c r="D78" s="183"/>
      <c r="E78" s="181"/>
      <c r="F78" s="184"/>
      <c r="G78" s="183"/>
      <c r="H78" s="187"/>
      <c r="I78" s="181"/>
      <c r="J78" s="189"/>
      <c r="K78" s="181"/>
      <c r="L78" s="183"/>
      <c r="M78" s="184"/>
      <c r="N78" s="181"/>
      <c r="O78" s="191"/>
      <c r="P78" s="191"/>
      <c r="Q78" s="191"/>
      <c r="R78" s="191"/>
      <c r="S78" s="191"/>
      <c r="T78" s="183"/>
      <c r="U78" s="183"/>
    </row>
    <row r="79" spans="1:21" x14ac:dyDescent="0.45">
      <c r="A79" s="179"/>
      <c r="C79" s="181"/>
      <c r="D79" s="183"/>
      <c r="E79" s="181"/>
      <c r="F79" s="184"/>
      <c r="G79" s="183"/>
      <c r="H79" s="187"/>
      <c r="I79" s="181"/>
      <c r="J79" s="189"/>
      <c r="K79" s="181"/>
      <c r="L79" s="183"/>
      <c r="M79" s="184"/>
      <c r="N79" s="181"/>
      <c r="O79" s="191"/>
      <c r="P79" s="191"/>
      <c r="Q79" s="191"/>
      <c r="R79" s="191"/>
      <c r="S79" s="191"/>
      <c r="T79" s="183"/>
      <c r="U79" s="183"/>
    </row>
    <row r="80" spans="1:21" x14ac:dyDescent="0.45">
      <c r="A80" s="179"/>
      <c r="C80" s="181"/>
      <c r="D80" s="183"/>
      <c r="E80" s="181"/>
      <c r="F80" s="184"/>
      <c r="G80" s="183"/>
      <c r="H80" s="187"/>
      <c r="I80" s="181"/>
      <c r="J80" s="189"/>
      <c r="K80" s="181"/>
      <c r="L80" s="183"/>
      <c r="M80" s="184"/>
      <c r="N80" s="181"/>
      <c r="O80" s="191"/>
      <c r="P80" s="191"/>
      <c r="Q80" s="191"/>
      <c r="R80" s="191"/>
      <c r="S80" s="191"/>
      <c r="T80" s="183"/>
      <c r="U80" s="183"/>
    </row>
    <row r="81" spans="1:21" x14ac:dyDescent="0.45">
      <c r="A81" s="179"/>
      <c r="C81" s="181"/>
      <c r="D81" s="183"/>
      <c r="E81" s="181"/>
      <c r="F81" s="184"/>
      <c r="G81" s="183"/>
      <c r="H81" s="187"/>
      <c r="I81" s="181"/>
      <c r="J81" s="189"/>
      <c r="K81" s="181"/>
      <c r="L81" s="183"/>
      <c r="M81" s="184"/>
      <c r="N81" s="181"/>
      <c r="O81" s="191"/>
      <c r="P81" s="191"/>
      <c r="Q81" s="191"/>
      <c r="R81" s="191"/>
      <c r="S81" s="191"/>
      <c r="T81" s="183"/>
      <c r="U81" s="183"/>
    </row>
    <row r="82" spans="1:21" x14ac:dyDescent="0.45">
      <c r="A82" s="179"/>
      <c r="C82" s="181"/>
      <c r="D82" s="183"/>
      <c r="E82" s="181"/>
      <c r="F82" s="184"/>
      <c r="G82" s="183"/>
      <c r="H82" s="187"/>
      <c r="I82" s="181"/>
      <c r="J82" s="189"/>
      <c r="K82" s="181"/>
      <c r="L82" s="183"/>
      <c r="M82" s="184"/>
      <c r="N82" s="181"/>
      <c r="O82" s="191"/>
      <c r="P82" s="191"/>
      <c r="Q82" s="191"/>
      <c r="R82" s="191"/>
      <c r="S82" s="191"/>
      <c r="T82" s="183"/>
      <c r="U82" s="183"/>
    </row>
    <row r="83" spans="1:21" x14ac:dyDescent="0.45">
      <c r="A83" s="179"/>
      <c r="C83" s="181"/>
      <c r="D83" s="183"/>
      <c r="E83" s="181"/>
      <c r="F83" s="184"/>
      <c r="G83" s="183"/>
      <c r="H83" s="187"/>
      <c r="I83" s="181"/>
      <c r="J83" s="189"/>
      <c r="K83" s="181"/>
      <c r="L83" s="183"/>
      <c r="M83" s="184"/>
      <c r="N83" s="181"/>
      <c r="O83" s="191"/>
      <c r="P83" s="191"/>
      <c r="Q83" s="191"/>
      <c r="R83" s="191"/>
      <c r="S83" s="191"/>
      <c r="T83" s="183"/>
      <c r="U83" s="183"/>
    </row>
    <row r="84" spans="1:21" x14ac:dyDescent="0.45">
      <c r="A84" s="179"/>
      <c r="C84" s="181"/>
      <c r="D84" s="183"/>
      <c r="E84" s="181"/>
      <c r="F84" s="184"/>
      <c r="G84" s="183"/>
      <c r="H84" s="187"/>
      <c r="I84" s="181"/>
      <c r="J84" s="189"/>
      <c r="K84" s="181"/>
      <c r="L84" s="183"/>
      <c r="M84" s="184"/>
      <c r="N84" s="181"/>
      <c r="O84" s="191"/>
      <c r="P84" s="191"/>
      <c r="Q84" s="191"/>
      <c r="R84" s="191"/>
      <c r="S84" s="191"/>
      <c r="T84" s="183"/>
      <c r="U84" s="183"/>
    </row>
    <row r="85" spans="1:21" x14ac:dyDescent="0.45">
      <c r="A85" s="179"/>
      <c r="C85" s="181"/>
      <c r="D85" s="183"/>
      <c r="E85" s="181"/>
      <c r="F85" s="184"/>
      <c r="G85" s="183"/>
      <c r="H85" s="187"/>
      <c r="I85" s="181"/>
      <c r="J85" s="189"/>
      <c r="K85" s="181"/>
      <c r="L85" s="183"/>
      <c r="M85" s="184"/>
      <c r="N85" s="181"/>
      <c r="O85" s="191"/>
      <c r="P85" s="191"/>
      <c r="Q85" s="191"/>
      <c r="R85" s="191"/>
      <c r="S85" s="191"/>
      <c r="T85" s="183"/>
      <c r="U85" s="183"/>
    </row>
    <row r="86" spans="1:21" x14ac:dyDescent="0.45">
      <c r="A86" s="179"/>
      <c r="C86" s="181"/>
      <c r="D86" s="183"/>
      <c r="E86" s="181"/>
      <c r="F86" s="184"/>
      <c r="G86" s="183"/>
      <c r="H86" s="187"/>
      <c r="I86" s="181"/>
      <c r="J86" s="189"/>
      <c r="K86" s="181"/>
      <c r="L86" s="183"/>
      <c r="M86" s="184"/>
      <c r="N86" s="181"/>
      <c r="O86" s="191"/>
      <c r="P86" s="191"/>
      <c r="Q86" s="191"/>
      <c r="R86" s="191"/>
      <c r="S86" s="191"/>
      <c r="T86" s="183"/>
      <c r="U86" s="183"/>
    </row>
    <row r="87" spans="1:21" x14ac:dyDescent="0.45">
      <c r="A87" s="179"/>
      <c r="C87" s="181"/>
      <c r="D87" s="183"/>
      <c r="E87" s="181"/>
      <c r="F87" s="184"/>
      <c r="G87" s="183"/>
      <c r="H87" s="187"/>
      <c r="I87" s="181"/>
      <c r="J87" s="189"/>
      <c r="K87" s="181"/>
      <c r="L87" s="183"/>
      <c r="M87" s="184"/>
      <c r="N87" s="181"/>
      <c r="O87" s="191"/>
      <c r="P87" s="191"/>
      <c r="Q87" s="191"/>
      <c r="R87" s="191"/>
      <c r="S87" s="191"/>
      <c r="T87" s="183"/>
      <c r="U87" s="183"/>
    </row>
    <row r="88" spans="1:21" x14ac:dyDescent="0.45">
      <c r="A88" s="179"/>
      <c r="C88" s="181"/>
      <c r="D88" s="183"/>
      <c r="E88" s="181"/>
      <c r="F88" s="184"/>
      <c r="G88" s="183"/>
      <c r="H88" s="187"/>
      <c r="I88" s="181"/>
      <c r="J88" s="189"/>
      <c r="K88" s="181"/>
      <c r="L88" s="183"/>
      <c r="M88" s="184"/>
      <c r="N88" s="181"/>
      <c r="O88" s="191"/>
      <c r="P88" s="191"/>
      <c r="Q88" s="191"/>
      <c r="R88" s="191"/>
      <c r="S88" s="191"/>
      <c r="T88" s="183"/>
      <c r="U88" s="183"/>
    </row>
    <row r="89" spans="1:21" x14ac:dyDescent="0.45">
      <c r="A89" s="179"/>
      <c r="C89" s="181"/>
      <c r="D89" s="183"/>
      <c r="E89" s="181"/>
      <c r="F89" s="184"/>
      <c r="G89" s="183"/>
      <c r="H89" s="187"/>
      <c r="I89" s="181"/>
      <c r="J89" s="189"/>
      <c r="K89" s="181"/>
      <c r="L89" s="183"/>
      <c r="M89" s="184"/>
      <c r="N89" s="181"/>
      <c r="O89" s="191"/>
      <c r="P89" s="191"/>
      <c r="Q89" s="191"/>
      <c r="R89" s="191"/>
      <c r="S89" s="191"/>
      <c r="T89" s="183"/>
      <c r="U89" s="183"/>
    </row>
    <row r="90" spans="1:21" x14ac:dyDescent="0.45">
      <c r="A90" s="179"/>
      <c r="C90" s="181"/>
      <c r="D90" s="183"/>
      <c r="E90" s="181"/>
      <c r="F90" s="184"/>
      <c r="G90" s="183"/>
      <c r="H90" s="187"/>
      <c r="I90" s="181"/>
      <c r="J90" s="189"/>
      <c r="K90" s="181"/>
      <c r="L90" s="183"/>
      <c r="M90" s="184"/>
      <c r="N90" s="181"/>
      <c r="O90" s="191"/>
      <c r="P90" s="191"/>
      <c r="Q90" s="191"/>
      <c r="R90" s="191"/>
      <c r="S90" s="191"/>
      <c r="T90" s="183"/>
      <c r="U90" s="183"/>
    </row>
    <row r="91" spans="1:21" x14ac:dyDescent="0.45">
      <c r="A91" s="179"/>
      <c r="C91" s="181"/>
      <c r="D91" s="183"/>
      <c r="E91" s="181"/>
      <c r="F91" s="184"/>
      <c r="G91" s="183"/>
      <c r="H91" s="187"/>
      <c r="I91" s="181"/>
      <c r="J91" s="189"/>
      <c r="K91" s="181"/>
      <c r="L91" s="183"/>
      <c r="M91" s="184"/>
      <c r="N91" s="181"/>
      <c r="O91" s="191"/>
      <c r="P91" s="191"/>
      <c r="Q91" s="191"/>
      <c r="R91" s="191"/>
      <c r="S91" s="191"/>
      <c r="T91" s="183"/>
      <c r="U91" s="183"/>
    </row>
    <row r="92" spans="1:21" x14ac:dyDescent="0.45">
      <c r="A92" s="179"/>
      <c r="C92" s="181"/>
      <c r="D92" s="183"/>
      <c r="E92" s="181"/>
      <c r="F92" s="184"/>
      <c r="G92" s="183"/>
      <c r="H92" s="187"/>
      <c r="I92" s="181"/>
      <c r="J92" s="189"/>
      <c r="K92" s="181"/>
      <c r="L92" s="183"/>
      <c r="M92" s="184"/>
      <c r="N92" s="181"/>
      <c r="O92" s="191"/>
      <c r="P92" s="191"/>
      <c r="Q92" s="191"/>
      <c r="R92" s="191"/>
      <c r="S92" s="191"/>
      <c r="T92" s="183"/>
      <c r="U92" s="183"/>
    </row>
    <row r="93" spans="1:21" x14ac:dyDescent="0.45">
      <c r="A93" s="179"/>
      <c r="C93" s="181"/>
      <c r="D93" s="183"/>
      <c r="E93" s="181"/>
      <c r="F93" s="184"/>
      <c r="G93" s="183"/>
      <c r="H93" s="187"/>
      <c r="I93" s="181"/>
      <c r="J93" s="189"/>
      <c r="K93" s="181"/>
      <c r="L93" s="183"/>
      <c r="M93" s="184"/>
      <c r="N93" s="181"/>
      <c r="O93" s="191"/>
      <c r="P93" s="191"/>
      <c r="Q93" s="191"/>
      <c r="R93" s="191"/>
      <c r="S93" s="191"/>
      <c r="T93" s="183"/>
      <c r="U93" s="183"/>
    </row>
    <row r="94" spans="1:21" x14ac:dyDescent="0.45">
      <c r="A94" s="179"/>
      <c r="C94" s="181"/>
      <c r="D94" s="183"/>
      <c r="E94" s="181"/>
      <c r="F94" s="184"/>
      <c r="G94" s="183"/>
      <c r="H94" s="187"/>
      <c r="I94" s="181"/>
      <c r="J94" s="189"/>
      <c r="K94" s="181"/>
      <c r="L94" s="183"/>
      <c r="M94" s="184"/>
      <c r="N94" s="181"/>
      <c r="O94" s="191"/>
      <c r="P94" s="191"/>
      <c r="Q94" s="191"/>
      <c r="R94" s="191"/>
      <c r="S94" s="191"/>
      <c r="T94" s="183"/>
      <c r="U94" s="183"/>
    </row>
    <row r="95" spans="1:21" x14ac:dyDescent="0.45">
      <c r="A95" s="179"/>
      <c r="C95" s="181"/>
      <c r="D95" s="183"/>
      <c r="E95" s="181"/>
      <c r="F95" s="184"/>
      <c r="G95" s="183"/>
      <c r="H95" s="187"/>
      <c r="I95" s="181"/>
      <c r="J95" s="189"/>
      <c r="K95" s="181"/>
      <c r="L95" s="183"/>
      <c r="M95" s="184"/>
      <c r="N95" s="181"/>
      <c r="O95" s="191"/>
      <c r="P95" s="191"/>
      <c r="Q95" s="191"/>
      <c r="R95" s="191"/>
      <c r="S95" s="191"/>
      <c r="T95" s="183"/>
      <c r="U95" s="183"/>
    </row>
    <row r="96" spans="1:21" x14ac:dyDescent="0.45">
      <c r="A96" s="179"/>
      <c r="C96" s="181"/>
      <c r="D96" s="183"/>
      <c r="E96" s="181"/>
      <c r="F96" s="184"/>
      <c r="G96" s="183"/>
      <c r="H96" s="187"/>
      <c r="I96" s="181"/>
      <c r="J96" s="189"/>
      <c r="K96" s="181"/>
      <c r="L96" s="183"/>
      <c r="M96" s="184"/>
      <c r="N96" s="181"/>
      <c r="O96" s="191"/>
      <c r="P96" s="191"/>
      <c r="Q96" s="191"/>
      <c r="R96" s="191"/>
      <c r="S96" s="191"/>
      <c r="T96" s="183"/>
      <c r="U96" s="183"/>
    </row>
    <row r="97" spans="1:21" x14ac:dyDescent="0.45">
      <c r="A97" s="179"/>
      <c r="C97" s="181"/>
      <c r="D97" s="183"/>
      <c r="E97" s="181"/>
      <c r="F97" s="184"/>
      <c r="G97" s="183"/>
      <c r="H97" s="187"/>
      <c r="I97" s="181"/>
      <c r="J97" s="189"/>
      <c r="K97" s="181"/>
      <c r="L97" s="183"/>
      <c r="M97" s="184"/>
      <c r="N97" s="181"/>
      <c r="O97" s="191"/>
      <c r="P97" s="191"/>
      <c r="Q97" s="191"/>
      <c r="R97" s="191"/>
      <c r="S97" s="191"/>
      <c r="T97" s="183"/>
      <c r="U97" s="183"/>
    </row>
    <row r="98" spans="1:21" x14ac:dyDescent="0.45">
      <c r="A98" s="179"/>
      <c r="C98" s="181"/>
      <c r="D98" s="183"/>
      <c r="E98" s="181"/>
      <c r="F98" s="184"/>
      <c r="G98" s="183"/>
      <c r="H98" s="187"/>
      <c r="I98" s="181"/>
      <c r="J98" s="189"/>
      <c r="K98" s="181"/>
      <c r="L98" s="183"/>
      <c r="M98" s="184"/>
      <c r="N98" s="181"/>
      <c r="O98" s="191"/>
      <c r="P98" s="191"/>
      <c r="Q98" s="191"/>
      <c r="R98" s="191"/>
      <c r="S98" s="191"/>
      <c r="T98" s="183"/>
      <c r="U98" s="183"/>
    </row>
    <row r="99" spans="1:21" x14ac:dyDescent="0.45">
      <c r="A99" s="179"/>
      <c r="C99" s="181"/>
      <c r="D99" s="183"/>
      <c r="E99" s="181"/>
      <c r="F99" s="184"/>
      <c r="G99" s="183"/>
      <c r="H99" s="187"/>
      <c r="I99" s="181"/>
      <c r="J99" s="189"/>
      <c r="K99" s="181"/>
      <c r="L99" s="183"/>
      <c r="M99" s="184"/>
      <c r="N99" s="181"/>
      <c r="O99" s="191"/>
      <c r="P99" s="191"/>
      <c r="Q99" s="191"/>
      <c r="R99" s="191"/>
      <c r="S99" s="191"/>
      <c r="T99" s="183"/>
      <c r="U99" s="183"/>
    </row>
    <row r="100" spans="1:21" x14ac:dyDescent="0.45">
      <c r="A100" s="179"/>
      <c r="C100" s="181"/>
      <c r="D100" s="183"/>
      <c r="E100" s="181"/>
      <c r="F100" s="184"/>
      <c r="G100" s="183"/>
      <c r="H100" s="187"/>
      <c r="I100" s="181"/>
      <c r="J100" s="189"/>
      <c r="K100" s="181"/>
      <c r="L100" s="183"/>
      <c r="M100" s="184"/>
      <c r="N100" s="181"/>
      <c r="O100" s="191"/>
      <c r="P100" s="191"/>
      <c r="Q100" s="191"/>
      <c r="R100" s="191"/>
      <c r="S100" s="191"/>
      <c r="T100" s="183"/>
      <c r="U100" s="183"/>
    </row>
    <row r="101" spans="1:21" x14ac:dyDescent="0.45">
      <c r="A101" s="179"/>
      <c r="C101" s="181"/>
      <c r="D101" s="183"/>
      <c r="E101" s="181"/>
      <c r="F101" s="184"/>
      <c r="G101" s="183"/>
      <c r="H101" s="187"/>
      <c r="I101" s="181"/>
      <c r="J101" s="189"/>
      <c r="K101" s="181"/>
      <c r="L101" s="183"/>
      <c r="M101" s="184"/>
      <c r="N101" s="181"/>
      <c r="O101" s="191"/>
      <c r="P101" s="191"/>
      <c r="Q101" s="191"/>
      <c r="R101" s="191"/>
      <c r="S101" s="191"/>
      <c r="T101" s="183"/>
      <c r="U101" s="183"/>
    </row>
    <row r="102" spans="1:21" x14ac:dyDescent="0.45">
      <c r="A102" s="179"/>
      <c r="C102" s="181"/>
      <c r="D102" s="183"/>
      <c r="E102" s="181"/>
      <c r="F102" s="184"/>
      <c r="G102" s="183"/>
      <c r="H102" s="187"/>
      <c r="I102" s="181"/>
      <c r="J102" s="189"/>
      <c r="K102" s="181"/>
      <c r="L102" s="183"/>
      <c r="M102" s="184"/>
      <c r="N102" s="181"/>
      <c r="O102" s="191"/>
      <c r="P102" s="191"/>
      <c r="Q102" s="191"/>
      <c r="R102" s="191"/>
      <c r="S102" s="191"/>
      <c r="T102" s="183"/>
      <c r="U102" s="183"/>
    </row>
    <row r="103" spans="1:21" x14ac:dyDescent="0.45">
      <c r="A103" s="179"/>
      <c r="C103" s="181"/>
      <c r="D103" s="183"/>
      <c r="E103" s="181"/>
      <c r="F103" s="184"/>
      <c r="G103" s="183"/>
      <c r="H103" s="187"/>
      <c r="I103" s="181"/>
      <c r="J103" s="189"/>
      <c r="K103" s="181"/>
      <c r="L103" s="183"/>
      <c r="M103" s="184"/>
      <c r="N103" s="181"/>
      <c r="O103" s="191"/>
      <c r="P103" s="191"/>
      <c r="Q103" s="191"/>
      <c r="R103" s="191"/>
      <c r="S103" s="191"/>
      <c r="T103" s="183"/>
      <c r="U103" s="183"/>
    </row>
    <row r="104" spans="1:21" x14ac:dyDescent="0.45">
      <c r="A104" s="179"/>
      <c r="C104" s="181"/>
      <c r="D104" s="183"/>
      <c r="E104" s="181"/>
      <c r="F104" s="184"/>
      <c r="G104" s="183"/>
      <c r="H104" s="187"/>
      <c r="I104" s="181"/>
      <c r="J104" s="189"/>
      <c r="K104" s="181"/>
      <c r="L104" s="183"/>
      <c r="M104" s="184"/>
      <c r="N104" s="181"/>
      <c r="O104" s="191"/>
      <c r="P104" s="191"/>
      <c r="Q104" s="191"/>
      <c r="R104" s="191"/>
      <c r="S104" s="191"/>
      <c r="T104" s="183"/>
      <c r="U104" s="183"/>
    </row>
    <row r="105" spans="1:21" x14ac:dyDescent="0.45">
      <c r="A105" s="179"/>
      <c r="C105" s="181"/>
      <c r="D105" s="183"/>
      <c r="E105" s="181"/>
      <c r="F105" s="184"/>
      <c r="G105" s="183"/>
      <c r="H105" s="187"/>
      <c r="I105" s="181"/>
      <c r="J105" s="189"/>
      <c r="K105" s="181"/>
      <c r="L105" s="183"/>
      <c r="M105" s="184"/>
      <c r="N105" s="181"/>
      <c r="O105" s="191"/>
      <c r="P105" s="191"/>
      <c r="Q105" s="191"/>
      <c r="R105" s="191"/>
      <c r="S105" s="191"/>
      <c r="T105" s="183"/>
      <c r="U105" s="183"/>
    </row>
    <row r="106" spans="1:21" x14ac:dyDescent="0.45">
      <c r="A106" s="179"/>
      <c r="C106" s="181"/>
      <c r="D106" s="183"/>
      <c r="E106" s="181"/>
      <c r="F106" s="184"/>
      <c r="G106" s="183"/>
      <c r="H106" s="187"/>
      <c r="I106" s="181"/>
      <c r="J106" s="189"/>
      <c r="K106" s="181"/>
      <c r="L106" s="183"/>
      <c r="M106" s="184"/>
      <c r="N106" s="181"/>
      <c r="O106" s="191"/>
      <c r="P106" s="191"/>
      <c r="Q106" s="191"/>
      <c r="R106" s="191"/>
      <c r="S106" s="191"/>
      <c r="T106" s="183"/>
      <c r="U106" s="183"/>
    </row>
    <row r="107" spans="1:21" x14ac:dyDescent="0.45">
      <c r="A107" s="179"/>
      <c r="C107" s="181"/>
      <c r="D107" s="183"/>
      <c r="E107" s="181"/>
      <c r="F107" s="184"/>
      <c r="G107" s="183"/>
      <c r="H107" s="187"/>
      <c r="I107" s="181"/>
      <c r="J107" s="189"/>
      <c r="K107" s="181"/>
      <c r="L107" s="183"/>
      <c r="M107" s="184"/>
      <c r="N107" s="181"/>
      <c r="O107" s="191"/>
      <c r="P107" s="191"/>
      <c r="Q107" s="191"/>
      <c r="R107" s="191"/>
      <c r="S107" s="191"/>
      <c r="T107" s="183"/>
      <c r="U107" s="183"/>
    </row>
    <row r="108" spans="1:21" x14ac:dyDescent="0.45">
      <c r="A108" s="179"/>
      <c r="C108" s="181"/>
      <c r="D108" s="183"/>
      <c r="E108" s="181"/>
      <c r="F108" s="184"/>
      <c r="G108" s="183"/>
      <c r="H108" s="187"/>
      <c r="I108" s="181"/>
      <c r="J108" s="189"/>
      <c r="K108" s="181"/>
      <c r="L108" s="183"/>
      <c r="M108" s="184"/>
      <c r="N108" s="181"/>
      <c r="O108" s="191"/>
      <c r="P108" s="191"/>
      <c r="Q108" s="191"/>
      <c r="R108" s="191"/>
      <c r="S108" s="191"/>
      <c r="T108" s="183"/>
      <c r="U108" s="183"/>
    </row>
    <row r="109" spans="1:21" x14ac:dyDescent="0.45">
      <c r="A109" s="179"/>
      <c r="C109" s="181"/>
      <c r="D109" s="183"/>
      <c r="E109" s="181"/>
      <c r="F109" s="184"/>
      <c r="G109" s="183"/>
      <c r="H109" s="187"/>
      <c r="I109" s="181"/>
      <c r="J109" s="189"/>
      <c r="K109" s="181"/>
      <c r="L109" s="183"/>
      <c r="M109" s="184"/>
      <c r="N109" s="181"/>
      <c r="O109" s="191"/>
      <c r="P109" s="191"/>
      <c r="Q109" s="191"/>
      <c r="R109" s="191"/>
      <c r="S109" s="191"/>
      <c r="T109" s="183"/>
      <c r="U109" s="183"/>
    </row>
    <row r="110" spans="1:21" x14ac:dyDescent="0.45">
      <c r="A110" s="179"/>
      <c r="C110" s="181"/>
      <c r="D110" s="183"/>
      <c r="E110" s="181"/>
      <c r="F110" s="184"/>
      <c r="G110" s="183"/>
      <c r="H110" s="187"/>
      <c r="I110" s="181"/>
      <c r="J110" s="189"/>
      <c r="K110" s="181"/>
      <c r="L110" s="183"/>
      <c r="M110" s="184"/>
      <c r="N110" s="181"/>
      <c r="O110" s="191"/>
      <c r="P110" s="191"/>
      <c r="Q110" s="191"/>
      <c r="R110" s="191"/>
      <c r="S110" s="191"/>
      <c r="T110" s="183"/>
      <c r="U110" s="183"/>
    </row>
    <row r="111" spans="1:21" x14ac:dyDescent="0.45">
      <c r="A111" s="179"/>
      <c r="C111" s="181"/>
      <c r="D111" s="183"/>
      <c r="E111" s="181"/>
      <c r="F111" s="184"/>
      <c r="G111" s="183"/>
      <c r="H111" s="187"/>
      <c r="I111" s="181"/>
      <c r="J111" s="189"/>
      <c r="K111" s="181"/>
      <c r="L111" s="183"/>
      <c r="M111" s="184"/>
      <c r="N111" s="181"/>
      <c r="O111" s="191"/>
      <c r="P111" s="191"/>
      <c r="Q111" s="191"/>
      <c r="R111" s="191"/>
      <c r="S111" s="191"/>
      <c r="T111" s="183"/>
      <c r="U111" s="183"/>
    </row>
    <row r="112" spans="1:21" x14ac:dyDescent="0.45">
      <c r="A112" s="179"/>
      <c r="C112" s="181"/>
      <c r="D112" s="183"/>
      <c r="E112" s="181"/>
      <c r="F112" s="184"/>
      <c r="G112" s="183"/>
      <c r="H112" s="187"/>
      <c r="I112" s="181"/>
      <c r="J112" s="189"/>
      <c r="K112" s="181"/>
      <c r="L112" s="183"/>
      <c r="M112" s="184"/>
      <c r="N112" s="181"/>
      <c r="O112" s="191"/>
      <c r="P112" s="191"/>
      <c r="Q112" s="191"/>
      <c r="R112" s="191"/>
      <c r="S112" s="191"/>
      <c r="T112" s="183"/>
      <c r="U112" s="183"/>
    </row>
    <row r="113" spans="1:21" x14ac:dyDescent="0.45">
      <c r="A113" s="179"/>
      <c r="C113" s="181"/>
      <c r="D113" s="183"/>
      <c r="E113" s="181"/>
      <c r="F113" s="184"/>
      <c r="G113" s="183"/>
      <c r="H113" s="187"/>
      <c r="I113" s="181"/>
      <c r="J113" s="189"/>
      <c r="K113" s="181"/>
      <c r="L113" s="183"/>
      <c r="M113" s="184"/>
      <c r="N113" s="181"/>
      <c r="O113" s="191"/>
      <c r="P113" s="191"/>
      <c r="Q113" s="191"/>
      <c r="R113" s="191"/>
      <c r="S113" s="191"/>
      <c r="T113" s="183"/>
      <c r="U113" s="183"/>
    </row>
    <row r="114" spans="1:21" x14ac:dyDescent="0.45">
      <c r="A114" s="179"/>
      <c r="C114" s="181"/>
      <c r="D114" s="183"/>
      <c r="E114" s="181"/>
      <c r="F114" s="184"/>
      <c r="G114" s="183"/>
      <c r="H114" s="187"/>
      <c r="I114" s="181"/>
      <c r="J114" s="189"/>
      <c r="K114" s="181"/>
      <c r="L114" s="183"/>
      <c r="M114" s="184"/>
      <c r="N114" s="181"/>
      <c r="O114" s="191"/>
      <c r="P114" s="191"/>
      <c r="Q114" s="191"/>
      <c r="R114" s="191"/>
      <c r="S114" s="191"/>
      <c r="T114" s="183"/>
      <c r="U114" s="183"/>
    </row>
    <row r="115" spans="1:21" x14ac:dyDescent="0.45">
      <c r="A115" s="179"/>
      <c r="C115" s="181"/>
      <c r="D115" s="183"/>
      <c r="E115" s="181"/>
      <c r="F115" s="184"/>
      <c r="G115" s="183"/>
      <c r="H115" s="187"/>
      <c r="I115" s="181"/>
      <c r="J115" s="189"/>
      <c r="K115" s="181"/>
      <c r="L115" s="183"/>
      <c r="M115" s="184"/>
      <c r="N115" s="181"/>
      <c r="O115" s="191"/>
      <c r="P115" s="191"/>
      <c r="Q115" s="191"/>
      <c r="R115" s="191"/>
      <c r="S115" s="191"/>
      <c r="T115" s="183"/>
      <c r="U115" s="183"/>
    </row>
    <row r="116" spans="1:21" x14ac:dyDescent="0.45">
      <c r="A116" s="179"/>
      <c r="C116" s="181"/>
      <c r="D116" s="183"/>
      <c r="E116" s="181"/>
      <c r="F116" s="184"/>
      <c r="G116" s="183"/>
      <c r="H116" s="187"/>
      <c r="I116" s="181"/>
      <c r="J116" s="189"/>
      <c r="K116" s="181"/>
      <c r="L116" s="183"/>
      <c r="M116" s="184"/>
      <c r="N116" s="181"/>
      <c r="O116" s="191"/>
      <c r="P116" s="191"/>
      <c r="Q116" s="191"/>
      <c r="R116" s="191"/>
      <c r="S116" s="191"/>
      <c r="T116" s="183"/>
      <c r="U116" s="183"/>
    </row>
    <row r="117" spans="1:21" x14ac:dyDescent="0.45">
      <c r="A117" s="179"/>
      <c r="C117" s="181"/>
      <c r="D117" s="183"/>
      <c r="E117" s="181"/>
      <c r="F117" s="184"/>
      <c r="G117" s="183"/>
      <c r="H117" s="187"/>
      <c r="I117" s="181"/>
      <c r="J117" s="189"/>
      <c r="K117" s="181"/>
      <c r="L117" s="183"/>
      <c r="M117" s="184"/>
      <c r="N117" s="181"/>
      <c r="O117" s="191"/>
      <c r="P117" s="191"/>
      <c r="Q117" s="191"/>
      <c r="R117" s="191"/>
      <c r="S117" s="191"/>
      <c r="T117" s="183"/>
      <c r="U117" s="183"/>
    </row>
    <row r="118" spans="1:21" x14ac:dyDescent="0.45">
      <c r="A118" s="179"/>
      <c r="C118" s="181"/>
      <c r="D118" s="183"/>
      <c r="E118" s="181"/>
      <c r="F118" s="184"/>
      <c r="G118" s="183"/>
      <c r="H118" s="187"/>
      <c r="I118" s="181"/>
      <c r="J118" s="189"/>
      <c r="K118" s="181"/>
      <c r="L118" s="183"/>
      <c r="M118" s="184"/>
      <c r="N118" s="181"/>
      <c r="O118" s="191"/>
      <c r="P118" s="191"/>
      <c r="Q118" s="191"/>
      <c r="R118" s="191"/>
      <c r="S118" s="191"/>
      <c r="T118" s="183"/>
      <c r="U118" s="183"/>
    </row>
    <row r="119" spans="1:21" x14ac:dyDescent="0.45">
      <c r="A119" s="179"/>
      <c r="C119" s="181"/>
      <c r="D119" s="183"/>
      <c r="E119" s="181"/>
      <c r="F119" s="184"/>
      <c r="G119" s="183"/>
      <c r="H119" s="187"/>
      <c r="I119" s="181"/>
      <c r="J119" s="189"/>
      <c r="K119" s="181"/>
      <c r="L119" s="183"/>
      <c r="M119" s="184"/>
      <c r="N119" s="181"/>
      <c r="O119" s="191"/>
      <c r="P119" s="191"/>
      <c r="Q119" s="191"/>
      <c r="R119" s="191"/>
      <c r="S119" s="191"/>
      <c r="T119" s="183"/>
      <c r="U119" s="183"/>
    </row>
    <row r="120" spans="1:21" x14ac:dyDescent="0.45">
      <c r="A120" s="179"/>
      <c r="C120" s="181"/>
      <c r="D120" s="183"/>
      <c r="E120" s="181"/>
      <c r="F120" s="184"/>
      <c r="G120" s="183"/>
      <c r="H120" s="187"/>
      <c r="I120" s="181"/>
      <c r="J120" s="189"/>
      <c r="K120" s="181"/>
      <c r="L120" s="183"/>
      <c r="M120" s="184"/>
      <c r="N120" s="181"/>
      <c r="O120" s="191"/>
      <c r="P120" s="191"/>
      <c r="Q120" s="191"/>
      <c r="R120" s="191"/>
      <c r="S120" s="191"/>
      <c r="T120" s="183"/>
      <c r="U120" s="183"/>
    </row>
    <row r="121" spans="1:21" x14ac:dyDescent="0.45">
      <c r="A121" s="179"/>
      <c r="C121" s="181"/>
      <c r="D121" s="183"/>
      <c r="E121" s="181"/>
      <c r="F121" s="184"/>
      <c r="G121" s="183"/>
      <c r="H121" s="187"/>
      <c r="I121" s="181"/>
      <c r="J121" s="189"/>
      <c r="K121" s="181"/>
      <c r="L121" s="183"/>
      <c r="M121" s="184"/>
      <c r="N121" s="181"/>
      <c r="O121" s="191"/>
      <c r="P121" s="191"/>
      <c r="Q121" s="191"/>
      <c r="R121" s="191"/>
      <c r="S121" s="191"/>
      <c r="T121" s="183"/>
      <c r="U121" s="183"/>
    </row>
    <row r="122" spans="1:21" x14ac:dyDescent="0.45">
      <c r="A122" s="179"/>
      <c r="C122" s="181"/>
      <c r="D122" s="183"/>
      <c r="E122" s="181"/>
      <c r="F122" s="184"/>
      <c r="G122" s="183"/>
      <c r="H122" s="187"/>
      <c r="I122" s="181"/>
      <c r="J122" s="189"/>
      <c r="K122" s="181"/>
      <c r="L122" s="183"/>
      <c r="M122" s="184"/>
      <c r="N122" s="181"/>
      <c r="O122" s="191"/>
      <c r="P122" s="191"/>
      <c r="Q122" s="191"/>
      <c r="R122" s="191"/>
      <c r="S122" s="191"/>
      <c r="T122" s="183"/>
      <c r="U122" s="183"/>
    </row>
    <row r="123" spans="1:21" x14ac:dyDescent="0.45">
      <c r="A123" s="179"/>
      <c r="C123" s="181"/>
      <c r="D123" s="183"/>
      <c r="E123" s="181"/>
      <c r="F123" s="184"/>
      <c r="G123" s="183"/>
      <c r="H123" s="187"/>
      <c r="I123" s="181"/>
      <c r="J123" s="189"/>
      <c r="K123" s="181"/>
      <c r="L123" s="183"/>
      <c r="M123" s="184"/>
      <c r="N123" s="181"/>
      <c r="O123" s="191"/>
      <c r="P123" s="191"/>
      <c r="Q123" s="191"/>
      <c r="R123" s="191"/>
      <c r="S123" s="191"/>
      <c r="T123" s="183"/>
      <c r="U123" s="183"/>
    </row>
    <row r="124" spans="1:21" x14ac:dyDescent="0.45">
      <c r="A124" s="179"/>
      <c r="C124" s="181"/>
      <c r="D124" s="183"/>
      <c r="E124" s="181"/>
      <c r="F124" s="184"/>
      <c r="G124" s="183"/>
      <c r="H124" s="187"/>
      <c r="I124" s="181"/>
      <c r="J124" s="189"/>
      <c r="K124" s="181"/>
      <c r="L124" s="183"/>
      <c r="M124" s="184"/>
      <c r="N124" s="181"/>
      <c r="O124" s="191"/>
      <c r="P124" s="191"/>
      <c r="Q124" s="191"/>
      <c r="R124" s="191"/>
      <c r="S124" s="191"/>
      <c r="T124" s="183"/>
      <c r="U124" s="183"/>
    </row>
    <row r="125" spans="1:21" x14ac:dyDescent="0.45">
      <c r="A125" s="179"/>
      <c r="C125" s="181"/>
      <c r="D125" s="183"/>
      <c r="E125" s="181"/>
      <c r="F125" s="184"/>
      <c r="G125" s="183"/>
      <c r="H125" s="187"/>
      <c r="I125" s="181"/>
      <c r="J125" s="189"/>
      <c r="K125" s="181"/>
      <c r="L125" s="183"/>
      <c r="M125" s="184"/>
      <c r="N125" s="181"/>
      <c r="O125" s="191"/>
      <c r="P125" s="191"/>
      <c r="Q125" s="191"/>
      <c r="R125" s="191"/>
      <c r="S125" s="191"/>
      <c r="T125" s="183"/>
      <c r="U125" s="183"/>
    </row>
    <row r="126" spans="1:21" x14ac:dyDescent="0.45">
      <c r="A126" s="179"/>
      <c r="C126" s="181"/>
      <c r="D126" s="183"/>
      <c r="E126" s="181"/>
      <c r="F126" s="184"/>
      <c r="G126" s="183"/>
      <c r="H126" s="187"/>
      <c r="I126" s="181"/>
      <c r="J126" s="189"/>
      <c r="K126" s="181"/>
      <c r="L126" s="183"/>
      <c r="M126" s="184"/>
      <c r="N126" s="181"/>
      <c r="O126" s="191"/>
      <c r="P126" s="191"/>
      <c r="Q126" s="191"/>
      <c r="R126" s="191"/>
      <c r="S126" s="191"/>
      <c r="T126" s="183"/>
      <c r="U126" s="183"/>
    </row>
    <row r="127" spans="1:21" x14ac:dyDescent="0.45">
      <c r="A127" s="179"/>
      <c r="C127" s="181"/>
      <c r="D127" s="183"/>
      <c r="E127" s="181"/>
      <c r="F127" s="184"/>
      <c r="G127" s="183"/>
      <c r="H127" s="187"/>
      <c r="I127" s="181"/>
      <c r="J127" s="189"/>
      <c r="K127" s="181"/>
      <c r="L127" s="183"/>
      <c r="M127" s="184"/>
      <c r="N127" s="181"/>
      <c r="O127" s="191"/>
      <c r="P127" s="191"/>
      <c r="Q127" s="191"/>
      <c r="R127" s="191"/>
      <c r="S127" s="191"/>
      <c r="T127" s="183"/>
      <c r="U127" s="183"/>
    </row>
    <row r="128" spans="1:21" x14ac:dyDescent="0.45">
      <c r="A128" s="179"/>
      <c r="C128" s="181"/>
      <c r="D128" s="183"/>
      <c r="E128" s="181"/>
      <c r="F128" s="184"/>
      <c r="G128" s="183"/>
      <c r="H128" s="187"/>
      <c r="I128" s="181"/>
      <c r="J128" s="189"/>
      <c r="K128" s="181"/>
      <c r="L128" s="183"/>
      <c r="M128" s="184"/>
      <c r="N128" s="181"/>
      <c r="O128" s="191"/>
      <c r="P128" s="191"/>
      <c r="Q128" s="191"/>
      <c r="R128" s="191"/>
      <c r="S128" s="191"/>
      <c r="T128" s="183"/>
      <c r="U128" s="183"/>
    </row>
    <row r="129" spans="1:21" x14ac:dyDescent="0.45">
      <c r="A129" s="179"/>
      <c r="C129" s="181"/>
      <c r="D129" s="183"/>
      <c r="E129" s="181"/>
      <c r="F129" s="184"/>
      <c r="G129" s="183"/>
      <c r="H129" s="187"/>
      <c r="I129" s="181"/>
      <c r="J129" s="189"/>
      <c r="K129" s="181"/>
      <c r="L129" s="183"/>
      <c r="M129" s="184"/>
      <c r="N129" s="181"/>
      <c r="O129" s="191"/>
      <c r="P129" s="191"/>
      <c r="Q129" s="191"/>
      <c r="R129" s="191"/>
      <c r="S129" s="191"/>
      <c r="T129" s="183"/>
      <c r="U129" s="183"/>
    </row>
    <row r="130" spans="1:21" x14ac:dyDescent="0.45">
      <c r="A130" s="179"/>
      <c r="C130" s="181"/>
      <c r="D130" s="183"/>
      <c r="E130" s="181"/>
      <c r="F130" s="184"/>
      <c r="G130" s="183"/>
      <c r="H130" s="187"/>
      <c r="I130" s="181"/>
      <c r="J130" s="189"/>
      <c r="K130" s="181"/>
      <c r="L130" s="183"/>
      <c r="M130" s="184"/>
      <c r="N130" s="181"/>
      <c r="O130" s="191"/>
      <c r="P130" s="191"/>
      <c r="Q130" s="191"/>
      <c r="R130" s="191"/>
      <c r="S130" s="191"/>
      <c r="T130" s="183"/>
      <c r="U130" s="183"/>
    </row>
    <row r="131" spans="1:21" x14ac:dyDescent="0.45">
      <c r="A131" s="179"/>
      <c r="C131" s="181"/>
      <c r="D131" s="183"/>
      <c r="E131" s="181"/>
      <c r="F131" s="184"/>
      <c r="G131" s="183"/>
      <c r="H131" s="187"/>
      <c r="I131" s="181"/>
      <c r="J131" s="189"/>
      <c r="K131" s="181"/>
      <c r="L131" s="183"/>
      <c r="M131" s="184"/>
      <c r="N131" s="181"/>
      <c r="O131" s="191"/>
      <c r="P131" s="191"/>
      <c r="Q131" s="191"/>
      <c r="R131" s="191"/>
      <c r="S131" s="191"/>
      <c r="T131" s="183"/>
      <c r="U131" s="183"/>
    </row>
    <row r="132" spans="1:21" x14ac:dyDescent="0.45">
      <c r="A132" s="179"/>
      <c r="C132" s="181"/>
      <c r="D132" s="183"/>
      <c r="E132" s="181"/>
      <c r="F132" s="184"/>
      <c r="G132" s="183"/>
      <c r="H132" s="187"/>
      <c r="I132" s="181"/>
      <c r="J132" s="189"/>
      <c r="K132" s="181"/>
      <c r="L132" s="183"/>
      <c r="M132" s="184"/>
      <c r="N132" s="181"/>
      <c r="O132" s="191"/>
      <c r="P132" s="191"/>
      <c r="Q132" s="191"/>
      <c r="R132" s="191"/>
      <c r="S132" s="191"/>
      <c r="T132" s="183"/>
      <c r="U132" s="183"/>
    </row>
    <row r="133" spans="1:21" x14ac:dyDescent="0.45">
      <c r="A133" s="179"/>
      <c r="C133" s="181"/>
      <c r="D133" s="183"/>
      <c r="E133" s="181"/>
      <c r="F133" s="184"/>
      <c r="G133" s="183"/>
      <c r="H133" s="187"/>
      <c r="I133" s="181"/>
      <c r="J133" s="189"/>
      <c r="K133" s="181"/>
      <c r="L133" s="183"/>
      <c r="M133" s="184"/>
      <c r="N133" s="181"/>
      <c r="O133" s="191"/>
      <c r="P133" s="191"/>
      <c r="Q133" s="191"/>
      <c r="R133" s="191"/>
      <c r="S133" s="191"/>
      <c r="T133" s="183"/>
      <c r="U133" s="183"/>
    </row>
    <row r="134" spans="1:21" x14ac:dyDescent="0.45">
      <c r="A134" s="179"/>
      <c r="C134" s="181"/>
      <c r="D134" s="183"/>
      <c r="E134" s="181"/>
      <c r="F134" s="184"/>
      <c r="G134" s="183"/>
      <c r="H134" s="187"/>
      <c r="I134" s="181"/>
      <c r="J134" s="189"/>
      <c r="K134" s="181"/>
      <c r="L134" s="183"/>
      <c r="M134" s="184"/>
      <c r="N134" s="181"/>
      <c r="O134" s="191"/>
      <c r="P134" s="191"/>
      <c r="Q134" s="191"/>
      <c r="R134" s="191"/>
      <c r="S134" s="191"/>
      <c r="T134" s="183"/>
      <c r="U134" s="183"/>
    </row>
    <row r="135" spans="1:21" x14ac:dyDescent="0.45">
      <c r="A135" s="179"/>
      <c r="C135" s="181"/>
      <c r="D135" s="183"/>
      <c r="E135" s="181"/>
      <c r="F135" s="184"/>
      <c r="G135" s="183"/>
      <c r="H135" s="187"/>
      <c r="I135" s="181"/>
      <c r="J135" s="189"/>
      <c r="K135" s="181"/>
      <c r="L135" s="183"/>
      <c r="M135" s="184"/>
      <c r="N135" s="181"/>
      <c r="O135" s="191"/>
      <c r="P135" s="191"/>
      <c r="Q135" s="191"/>
      <c r="R135" s="191"/>
      <c r="S135" s="191"/>
      <c r="T135" s="183"/>
      <c r="U135" s="183"/>
    </row>
    <row r="136" spans="1:21" x14ac:dyDescent="0.45">
      <c r="A136" s="179"/>
      <c r="C136" s="181"/>
      <c r="D136" s="183"/>
      <c r="E136" s="181"/>
      <c r="F136" s="184"/>
      <c r="G136" s="183"/>
      <c r="H136" s="187"/>
      <c r="I136" s="181"/>
      <c r="J136" s="189"/>
      <c r="K136" s="181"/>
      <c r="L136" s="183"/>
      <c r="M136" s="184"/>
      <c r="N136" s="181"/>
      <c r="O136" s="191"/>
      <c r="P136" s="191"/>
      <c r="Q136" s="191"/>
      <c r="R136" s="191"/>
      <c r="S136" s="191"/>
      <c r="T136" s="183"/>
      <c r="U136" s="183"/>
    </row>
    <row r="137" spans="1:21" x14ac:dyDescent="0.45">
      <c r="A137" s="179"/>
      <c r="C137" s="181"/>
      <c r="D137" s="183"/>
      <c r="E137" s="181"/>
      <c r="F137" s="184"/>
      <c r="G137" s="183"/>
      <c r="H137" s="187"/>
      <c r="I137" s="181"/>
      <c r="J137" s="189"/>
      <c r="K137" s="181"/>
      <c r="L137" s="183"/>
      <c r="M137" s="184"/>
      <c r="N137" s="181"/>
      <c r="O137" s="191"/>
      <c r="P137" s="191"/>
      <c r="Q137" s="191"/>
      <c r="R137" s="191"/>
      <c r="S137" s="191"/>
      <c r="T137" s="183"/>
      <c r="U137" s="183"/>
    </row>
    <row r="138" spans="1:21" x14ac:dyDescent="0.45">
      <c r="A138" s="179"/>
      <c r="C138" s="181"/>
      <c r="D138" s="183"/>
      <c r="E138" s="181"/>
      <c r="F138" s="184"/>
      <c r="G138" s="183"/>
      <c r="H138" s="187"/>
      <c r="I138" s="181"/>
      <c r="J138" s="189"/>
      <c r="K138" s="181"/>
      <c r="L138" s="183"/>
      <c r="M138" s="184"/>
      <c r="N138" s="181"/>
      <c r="O138" s="191"/>
      <c r="P138" s="191"/>
      <c r="Q138" s="191"/>
      <c r="R138" s="191"/>
      <c r="S138" s="191"/>
      <c r="T138" s="183"/>
      <c r="U138" s="183"/>
    </row>
    <row r="139" spans="1:21" x14ac:dyDescent="0.45">
      <c r="A139" s="179"/>
      <c r="C139" s="181"/>
      <c r="D139" s="183"/>
      <c r="E139" s="181"/>
      <c r="F139" s="184"/>
      <c r="G139" s="183"/>
      <c r="H139" s="187"/>
      <c r="I139" s="181"/>
      <c r="J139" s="189"/>
      <c r="K139" s="181"/>
      <c r="L139" s="183"/>
      <c r="M139" s="184"/>
      <c r="N139" s="181"/>
      <c r="O139" s="191"/>
      <c r="P139" s="191"/>
      <c r="Q139" s="191"/>
      <c r="R139" s="191"/>
      <c r="S139" s="191"/>
      <c r="T139" s="183"/>
      <c r="U139" s="183"/>
    </row>
    <row r="140" spans="1:21" x14ac:dyDescent="0.45">
      <c r="A140" s="179"/>
      <c r="C140" s="181"/>
      <c r="D140" s="183"/>
      <c r="E140" s="181"/>
      <c r="F140" s="184"/>
      <c r="G140" s="183"/>
      <c r="H140" s="187"/>
      <c r="I140" s="181"/>
      <c r="J140" s="189"/>
      <c r="K140" s="181"/>
      <c r="L140" s="183"/>
      <c r="M140" s="184"/>
      <c r="N140" s="181"/>
      <c r="O140" s="191"/>
      <c r="P140" s="191"/>
      <c r="Q140" s="191"/>
      <c r="R140" s="191"/>
      <c r="S140" s="191"/>
      <c r="T140" s="183"/>
      <c r="U140" s="183"/>
    </row>
    <row r="141" spans="1:21" x14ac:dyDescent="0.45">
      <c r="A141" s="179"/>
      <c r="C141" s="181"/>
      <c r="D141" s="183"/>
      <c r="E141" s="181"/>
      <c r="F141" s="184"/>
      <c r="G141" s="183"/>
      <c r="H141" s="187"/>
      <c r="I141" s="181"/>
      <c r="J141" s="189"/>
      <c r="K141" s="181"/>
      <c r="L141" s="183"/>
      <c r="M141" s="184"/>
      <c r="N141" s="181"/>
      <c r="O141" s="191"/>
      <c r="P141" s="191"/>
      <c r="Q141" s="191"/>
      <c r="R141" s="191"/>
      <c r="S141" s="191"/>
      <c r="T141" s="183"/>
      <c r="U141" s="183"/>
    </row>
    <row r="142" spans="1:21" x14ac:dyDescent="0.45">
      <c r="A142" s="179"/>
      <c r="C142" s="181"/>
      <c r="D142" s="183"/>
      <c r="E142" s="181"/>
      <c r="F142" s="184"/>
      <c r="G142" s="183"/>
      <c r="H142" s="187"/>
      <c r="I142" s="181"/>
      <c r="J142" s="189"/>
      <c r="K142" s="181"/>
      <c r="L142" s="183"/>
      <c r="M142" s="184"/>
      <c r="N142" s="181"/>
      <c r="O142" s="191"/>
      <c r="P142" s="191"/>
      <c r="Q142" s="191"/>
      <c r="R142" s="191"/>
      <c r="S142" s="191"/>
      <c r="T142" s="183"/>
      <c r="U142" s="183"/>
    </row>
    <row r="143" spans="1:21" x14ac:dyDescent="0.45">
      <c r="A143" s="179"/>
      <c r="C143" s="181"/>
      <c r="D143" s="183"/>
      <c r="E143" s="181"/>
      <c r="F143" s="184"/>
      <c r="G143" s="183"/>
      <c r="H143" s="187"/>
      <c r="I143" s="181"/>
      <c r="J143" s="189"/>
      <c r="K143" s="181"/>
      <c r="L143" s="183"/>
      <c r="M143" s="184"/>
      <c r="N143" s="181"/>
      <c r="O143" s="191"/>
      <c r="P143" s="191"/>
      <c r="Q143" s="191"/>
      <c r="R143" s="191"/>
      <c r="S143" s="191"/>
      <c r="T143" s="183"/>
      <c r="U143" s="183"/>
    </row>
    <row r="144" spans="1:21" x14ac:dyDescent="0.45">
      <c r="A144" s="179"/>
      <c r="C144" s="181"/>
      <c r="D144" s="183"/>
      <c r="E144" s="181"/>
      <c r="F144" s="184"/>
      <c r="G144" s="183"/>
      <c r="H144" s="187"/>
      <c r="I144" s="181"/>
      <c r="J144" s="189"/>
      <c r="K144" s="181"/>
      <c r="L144" s="183"/>
      <c r="M144" s="184"/>
      <c r="N144" s="181"/>
      <c r="O144" s="191"/>
      <c r="P144" s="191"/>
      <c r="Q144" s="191"/>
      <c r="R144" s="191"/>
      <c r="S144" s="191"/>
      <c r="T144" s="183"/>
      <c r="U144" s="183"/>
    </row>
    <row r="145" spans="1:21" x14ac:dyDescent="0.45">
      <c r="A145" s="179"/>
      <c r="C145" s="181"/>
      <c r="D145" s="183"/>
      <c r="E145" s="181"/>
      <c r="F145" s="184"/>
      <c r="G145" s="183"/>
      <c r="H145" s="187"/>
      <c r="I145" s="181"/>
      <c r="J145" s="189"/>
      <c r="K145" s="181"/>
      <c r="L145" s="183"/>
      <c r="M145" s="184"/>
      <c r="N145" s="181"/>
      <c r="O145" s="191"/>
      <c r="P145" s="191"/>
      <c r="Q145" s="191"/>
      <c r="R145" s="191"/>
      <c r="S145" s="191"/>
      <c r="T145" s="183"/>
      <c r="U145" s="183"/>
    </row>
    <row r="146" spans="1:21" x14ac:dyDescent="0.45">
      <c r="A146" s="179"/>
      <c r="C146" s="181"/>
      <c r="D146" s="183"/>
      <c r="E146" s="181"/>
      <c r="F146" s="184"/>
      <c r="G146" s="183"/>
      <c r="H146" s="187"/>
      <c r="I146" s="181"/>
      <c r="J146" s="189"/>
      <c r="K146" s="181"/>
      <c r="L146" s="183"/>
      <c r="M146" s="184"/>
      <c r="N146" s="181"/>
      <c r="O146" s="191"/>
      <c r="P146" s="191"/>
      <c r="Q146" s="191"/>
      <c r="R146" s="191"/>
      <c r="S146" s="191"/>
      <c r="T146" s="183"/>
      <c r="U146" s="183"/>
    </row>
    <row r="147" spans="1:21" x14ac:dyDescent="0.45">
      <c r="A147" s="179"/>
      <c r="C147" s="181"/>
      <c r="D147" s="183"/>
      <c r="E147" s="181"/>
      <c r="F147" s="184"/>
      <c r="G147" s="183"/>
      <c r="H147" s="187"/>
      <c r="I147" s="181"/>
      <c r="J147" s="189"/>
      <c r="K147" s="181"/>
      <c r="L147" s="183"/>
      <c r="M147" s="184"/>
      <c r="N147" s="181"/>
      <c r="O147" s="191"/>
      <c r="P147" s="191"/>
      <c r="Q147" s="191"/>
      <c r="R147" s="191"/>
      <c r="S147" s="191"/>
      <c r="T147" s="183"/>
      <c r="U147" s="183"/>
    </row>
    <row r="148" spans="1:21" x14ac:dyDescent="0.45">
      <c r="A148" s="179"/>
      <c r="C148" s="181"/>
      <c r="D148" s="183"/>
      <c r="E148" s="181"/>
      <c r="F148" s="184"/>
      <c r="G148" s="183"/>
      <c r="H148" s="187"/>
      <c r="I148" s="181"/>
      <c r="J148" s="189"/>
      <c r="K148" s="181"/>
      <c r="L148" s="183"/>
      <c r="M148" s="184"/>
      <c r="N148" s="181"/>
      <c r="O148" s="191"/>
      <c r="P148" s="191"/>
      <c r="Q148" s="191"/>
      <c r="R148" s="191"/>
      <c r="S148" s="191"/>
      <c r="T148" s="183"/>
      <c r="U148" s="183"/>
    </row>
    <row r="149" spans="1:21" x14ac:dyDescent="0.45">
      <c r="A149" s="179"/>
      <c r="C149" s="181"/>
      <c r="D149" s="183"/>
      <c r="E149" s="181"/>
      <c r="F149" s="184"/>
      <c r="G149" s="183"/>
      <c r="H149" s="187"/>
      <c r="I149" s="181"/>
      <c r="J149" s="189"/>
      <c r="K149" s="181"/>
      <c r="L149" s="183"/>
      <c r="M149" s="184"/>
      <c r="N149" s="181"/>
      <c r="O149" s="191"/>
      <c r="P149" s="191"/>
      <c r="Q149" s="191"/>
      <c r="R149" s="191"/>
      <c r="S149" s="191"/>
      <c r="T149" s="183"/>
      <c r="U149" s="183"/>
    </row>
    <row r="150" spans="1:21" x14ac:dyDescent="0.45">
      <c r="A150" s="179"/>
      <c r="C150" s="181"/>
      <c r="D150" s="183"/>
      <c r="E150" s="181"/>
      <c r="F150" s="184"/>
      <c r="G150" s="183"/>
      <c r="H150" s="187"/>
      <c r="I150" s="181"/>
      <c r="J150" s="189"/>
      <c r="K150" s="181"/>
      <c r="L150" s="183"/>
      <c r="M150" s="184"/>
      <c r="N150" s="181"/>
      <c r="O150" s="191"/>
      <c r="P150" s="191"/>
      <c r="Q150" s="191"/>
      <c r="R150" s="191"/>
      <c r="S150" s="191"/>
      <c r="T150" s="183"/>
      <c r="U150" s="183"/>
    </row>
    <row r="151" spans="1:21" x14ac:dyDescent="0.45">
      <c r="A151" s="179"/>
      <c r="C151" s="181"/>
      <c r="D151" s="183"/>
      <c r="E151" s="181"/>
      <c r="F151" s="184"/>
      <c r="G151" s="183"/>
      <c r="H151" s="187"/>
      <c r="I151" s="181"/>
      <c r="J151" s="189"/>
      <c r="K151" s="181"/>
      <c r="L151" s="183"/>
      <c r="M151" s="184"/>
      <c r="N151" s="181"/>
      <c r="O151" s="191"/>
      <c r="P151" s="191"/>
      <c r="Q151" s="191"/>
      <c r="R151" s="191"/>
      <c r="S151" s="191"/>
      <c r="T151" s="183"/>
      <c r="U151" s="183"/>
    </row>
    <row r="152" spans="1:21" x14ac:dyDescent="0.45">
      <c r="A152" s="179"/>
      <c r="C152" s="181"/>
      <c r="D152" s="183"/>
      <c r="E152" s="181"/>
      <c r="F152" s="184"/>
      <c r="G152" s="183"/>
      <c r="H152" s="187"/>
      <c r="I152" s="181"/>
      <c r="J152" s="189"/>
      <c r="K152" s="181"/>
      <c r="L152" s="183"/>
      <c r="M152" s="184"/>
      <c r="N152" s="181"/>
      <c r="O152" s="191"/>
      <c r="P152" s="191"/>
      <c r="Q152" s="191"/>
      <c r="R152" s="191"/>
      <c r="S152" s="191"/>
      <c r="T152" s="183"/>
      <c r="U152" s="183"/>
    </row>
    <row r="153" spans="1:21" x14ac:dyDescent="0.45">
      <c r="A153" s="179"/>
      <c r="C153" s="181"/>
      <c r="D153" s="183"/>
      <c r="E153" s="181"/>
      <c r="F153" s="184"/>
      <c r="G153" s="183"/>
      <c r="H153" s="187"/>
      <c r="I153" s="181"/>
      <c r="J153" s="189"/>
      <c r="K153" s="181"/>
      <c r="L153" s="183"/>
      <c r="M153" s="184"/>
      <c r="N153" s="181"/>
      <c r="O153" s="191"/>
      <c r="P153" s="191"/>
      <c r="Q153" s="191"/>
      <c r="R153" s="191"/>
      <c r="S153" s="191"/>
      <c r="T153" s="183"/>
      <c r="U153" s="183"/>
    </row>
    <row r="154" spans="1:21" x14ac:dyDescent="0.45">
      <c r="A154" s="179"/>
      <c r="C154" s="181"/>
      <c r="D154" s="183"/>
      <c r="E154" s="181"/>
      <c r="F154" s="184"/>
      <c r="G154" s="183"/>
      <c r="H154" s="187"/>
      <c r="I154" s="181"/>
      <c r="J154" s="189"/>
      <c r="K154" s="181"/>
      <c r="L154" s="183"/>
      <c r="M154" s="184"/>
      <c r="N154" s="181"/>
      <c r="O154" s="191"/>
      <c r="P154" s="191"/>
      <c r="Q154" s="191"/>
      <c r="R154" s="191"/>
      <c r="S154" s="191"/>
      <c r="T154" s="183"/>
      <c r="U154" s="183"/>
    </row>
    <row r="155" spans="1:21" x14ac:dyDescent="0.45">
      <c r="A155" s="179"/>
      <c r="C155" s="181"/>
      <c r="D155" s="183"/>
      <c r="E155" s="181"/>
      <c r="F155" s="184"/>
      <c r="G155" s="183"/>
      <c r="H155" s="187"/>
      <c r="I155" s="181"/>
      <c r="J155" s="189"/>
      <c r="K155" s="181"/>
      <c r="L155" s="183"/>
      <c r="M155" s="184"/>
      <c r="N155" s="181"/>
      <c r="O155" s="191"/>
      <c r="P155" s="191"/>
      <c r="Q155" s="191"/>
      <c r="R155" s="191"/>
      <c r="S155" s="191"/>
      <c r="T155" s="183"/>
      <c r="U155" s="183"/>
    </row>
    <row r="156" spans="1:21" x14ac:dyDescent="0.45">
      <c r="A156" s="179"/>
      <c r="C156" s="181"/>
      <c r="D156" s="183"/>
      <c r="E156" s="181"/>
      <c r="F156" s="184"/>
      <c r="G156" s="183"/>
      <c r="H156" s="187"/>
      <c r="I156" s="181"/>
      <c r="J156" s="189"/>
      <c r="K156" s="181"/>
      <c r="L156" s="183"/>
      <c r="M156" s="184"/>
      <c r="N156" s="181"/>
      <c r="O156" s="191"/>
      <c r="P156" s="191"/>
      <c r="Q156" s="191"/>
      <c r="R156" s="191"/>
      <c r="S156" s="191"/>
      <c r="T156" s="183"/>
      <c r="U156" s="183"/>
    </row>
    <row r="157" spans="1:21" x14ac:dyDescent="0.45">
      <c r="A157" s="179"/>
      <c r="C157" s="181"/>
      <c r="D157" s="183"/>
      <c r="E157" s="181"/>
      <c r="F157" s="184"/>
      <c r="G157" s="183"/>
      <c r="H157" s="187"/>
      <c r="I157" s="181"/>
      <c r="J157" s="189"/>
      <c r="K157" s="181"/>
      <c r="L157" s="183"/>
      <c r="M157" s="184"/>
      <c r="N157" s="181"/>
      <c r="O157" s="191"/>
      <c r="P157" s="191"/>
      <c r="Q157" s="191"/>
      <c r="R157" s="191"/>
      <c r="S157" s="191"/>
      <c r="T157" s="183"/>
      <c r="U157" s="183"/>
    </row>
    <row r="158" spans="1:21" x14ac:dyDescent="0.45">
      <c r="A158" s="179"/>
      <c r="C158" s="181"/>
      <c r="D158" s="183"/>
      <c r="E158" s="181"/>
      <c r="F158" s="184"/>
      <c r="G158" s="183"/>
      <c r="H158" s="187"/>
      <c r="I158" s="181"/>
      <c r="J158" s="189"/>
      <c r="K158" s="181"/>
      <c r="L158" s="183"/>
      <c r="M158" s="184"/>
      <c r="N158" s="181"/>
      <c r="O158" s="191"/>
      <c r="P158" s="191"/>
      <c r="Q158" s="191"/>
      <c r="R158" s="191"/>
      <c r="S158" s="191"/>
      <c r="T158" s="183"/>
      <c r="U158" s="183"/>
    </row>
    <row r="159" spans="1:21" x14ac:dyDescent="0.45">
      <c r="A159" s="179"/>
      <c r="C159" s="181"/>
      <c r="D159" s="183"/>
      <c r="E159" s="181"/>
      <c r="F159" s="184"/>
      <c r="G159" s="183"/>
      <c r="H159" s="187"/>
      <c r="I159" s="181"/>
      <c r="J159" s="189"/>
      <c r="K159" s="181"/>
      <c r="L159" s="183"/>
      <c r="M159" s="184"/>
      <c r="N159" s="181"/>
      <c r="O159" s="191"/>
      <c r="P159" s="191"/>
      <c r="Q159" s="191"/>
      <c r="R159" s="191"/>
      <c r="S159" s="191"/>
      <c r="T159" s="183"/>
      <c r="U159" s="183"/>
    </row>
    <row r="160" spans="1:21" x14ac:dyDescent="0.45">
      <c r="A160" s="179"/>
      <c r="C160" s="181"/>
      <c r="D160" s="183"/>
      <c r="E160" s="181"/>
      <c r="F160" s="184"/>
      <c r="G160" s="183"/>
      <c r="H160" s="187"/>
      <c r="I160" s="181"/>
      <c r="J160" s="189"/>
      <c r="K160" s="181"/>
      <c r="L160" s="183"/>
      <c r="M160" s="184"/>
      <c r="N160" s="181"/>
      <c r="O160" s="191"/>
      <c r="P160" s="191"/>
      <c r="Q160" s="191"/>
      <c r="R160" s="191"/>
      <c r="S160" s="191"/>
      <c r="T160" s="183"/>
      <c r="U160" s="183"/>
    </row>
    <row r="161" spans="1:21" x14ac:dyDescent="0.45">
      <c r="A161" s="179"/>
      <c r="C161" s="181"/>
      <c r="D161" s="183"/>
      <c r="E161" s="181"/>
      <c r="F161" s="184"/>
      <c r="G161" s="183"/>
      <c r="H161" s="187"/>
      <c r="I161" s="181"/>
      <c r="J161" s="189"/>
      <c r="K161" s="181"/>
      <c r="L161" s="183"/>
      <c r="M161" s="184"/>
      <c r="N161" s="181"/>
      <c r="O161" s="191"/>
      <c r="P161" s="191"/>
      <c r="Q161" s="191"/>
      <c r="R161" s="191"/>
      <c r="S161" s="191"/>
      <c r="T161" s="183"/>
      <c r="U161" s="183"/>
    </row>
    <row r="162" spans="1:21" x14ac:dyDescent="0.45">
      <c r="A162" s="179"/>
      <c r="C162" s="181"/>
      <c r="D162" s="183"/>
      <c r="E162" s="181"/>
      <c r="F162" s="184"/>
      <c r="G162" s="183"/>
      <c r="H162" s="187"/>
      <c r="I162" s="181"/>
      <c r="J162" s="189"/>
      <c r="K162" s="181"/>
      <c r="L162" s="183"/>
      <c r="M162" s="184"/>
      <c r="N162" s="181"/>
      <c r="O162" s="191"/>
      <c r="P162" s="191"/>
      <c r="Q162" s="191"/>
      <c r="R162" s="191"/>
      <c r="S162" s="191"/>
      <c r="T162" s="183"/>
      <c r="U162" s="183"/>
    </row>
    <row r="163" spans="1:21" x14ac:dyDescent="0.45">
      <c r="A163" s="179"/>
      <c r="C163" s="181"/>
      <c r="D163" s="183"/>
      <c r="E163" s="181"/>
      <c r="F163" s="184"/>
      <c r="G163" s="183"/>
      <c r="H163" s="187"/>
      <c r="I163" s="181"/>
      <c r="J163" s="189"/>
      <c r="K163" s="181"/>
      <c r="L163" s="183"/>
      <c r="M163" s="184"/>
      <c r="N163" s="181"/>
      <c r="O163" s="191"/>
      <c r="P163" s="191"/>
      <c r="Q163" s="191"/>
      <c r="R163" s="191"/>
      <c r="S163" s="191"/>
      <c r="T163" s="183"/>
      <c r="U163" s="183"/>
    </row>
    <row r="164" spans="1:21" x14ac:dyDescent="0.45">
      <c r="A164" s="179"/>
      <c r="C164" s="181"/>
      <c r="D164" s="183"/>
      <c r="E164" s="181"/>
      <c r="F164" s="184"/>
      <c r="G164" s="183"/>
      <c r="H164" s="187"/>
      <c r="I164" s="181"/>
      <c r="J164" s="189"/>
      <c r="K164" s="181"/>
      <c r="L164" s="183"/>
      <c r="M164" s="184"/>
      <c r="N164" s="181"/>
      <c r="O164" s="191"/>
      <c r="P164" s="191"/>
      <c r="Q164" s="191"/>
      <c r="R164" s="191"/>
      <c r="S164" s="191"/>
      <c r="T164" s="183"/>
      <c r="U164" s="183"/>
    </row>
    <row r="165" spans="1:21" x14ac:dyDescent="0.45">
      <c r="A165" s="179"/>
      <c r="C165" s="181"/>
      <c r="D165" s="183"/>
      <c r="E165" s="181"/>
      <c r="F165" s="184"/>
      <c r="G165" s="183"/>
      <c r="H165" s="187"/>
      <c r="I165" s="181"/>
      <c r="J165" s="189"/>
      <c r="K165" s="181"/>
      <c r="L165" s="183"/>
      <c r="M165" s="184"/>
      <c r="N165" s="181"/>
      <c r="O165" s="191"/>
      <c r="P165" s="191"/>
      <c r="Q165" s="191"/>
      <c r="R165" s="191"/>
      <c r="S165" s="191"/>
      <c r="T165" s="183"/>
      <c r="U165" s="183"/>
    </row>
    <row r="166" spans="1:21" x14ac:dyDescent="0.45">
      <c r="A166" s="179"/>
      <c r="C166" s="181"/>
      <c r="D166" s="183"/>
      <c r="E166" s="181"/>
      <c r="F166" s="184"/>
      <c r="G166" s="183"/>
      <c r="H166" s="187"/>
      <c r="I166" s="181"/>
      <c r="J166" s="189"/>
      <c r="K166" s="181"/>
      <c r="L166" s="183"/>
      <c r="M166" s="184"/>
      <c r="N166" s="181"/>
      <c r="O166" s="191"/>
      <c r="P166" s="191"/>
      <c r="Q166" s="191"/>
      <c r="R166" s="191"/>
      <c r="S166" s="191"/>
      <c r="T166" s="183"/>
      <c r="U166" s="183"/>
    </row>
    <row r="167" spans="1:21" x14ac:dyDescent="0.45">
      <c r="A167" s="179"/>
      <c r="C167" s="181"/>
      <c r="D167" s="183"/>
      <c r="E167" s="181"/>
      <c r="F167" s="184"/>
      <c r="G167" s="183"/>
      <c r="H167" s="187"/>
      <c r="I167" s="181"/>
      <c r="J167" s="189"/>
      <c r="K167" s="181"/>
      <c r="L167" s="183"/>
      <c r="M167" s="184"/>
      <c r="N167" s="181"/>
      <c r="O167" s="191"/>
      <c r="P167" s="191"/>
      <c r="Q167" s="191"/>
      <c r="R167" s="191"/>
      <c r="S167" s="191"/>
      <c r="T167" s="183"/>
      <c r="U167" s="183"/>
    </row>
    <row r="168" spans="1:21" x14ac:dyDescent="0.45">
      <c r="A168" s="179"/>
      <c r="C168" s="181"/>
      <c r="D168" s="183"/>
      <c r="E168" s="181"/>
      <c r="F168" s="184"/>
      <c r="G168" s="183"/>
      <c r="H168" s="187"/>
      <c r="I168" s="181"/>
      <c r="J168" s="189"/>
      <c r="K168" s="181"/>
      <c r="L168" s="183"/>
      <c r="M168" s="184"/>
      <c r="N168" s="181"/>
      <c r="O168" s="191"/>
      <c r="P168" s="191"/>
      <c r="Q168" s="191"/>
      <c r="R168" s="191"/>
      <c r="S168" s="191"/>
      <c r="T168" s="183"/>
      <c r="U168" s="183"/>
    </row>
    <row r="169" spans="1:21" x14ac:dyDescent="0.45">
      <c r="A169" s="179"/>
      <c r="C169" s="181"/>
      <c r="D169" s="183"/>
      <c r="E169" s="181"/>
      <c r="F169" s="184"/>
      <c r="G169" s="183"/>
      <c r="H169" s="187"/>
      <c r="I169" s="181"/>
      <c r="J169" s="189"/>
      <c r="K169" s="181"/>
      <c r="L169" s="183"/>
      <c r="M169" s="184"/>
      <c r="N169" s="181"/>
      <c r="O169" s="191"/>
      <c r="P169" s="191"/>
      <c r="Q169" s="191"/>
      <c r="R169" s="191"/>
      <c r="S169" s="191"/>
      <c r="T169" s="183"/>
      <c r="U169" s="183"/>
    </row>
    <row r="170" spans="1:21" x14ac:dyDescent="0.45">
      <c r="A170" s="179"/>
      <c r="C170" s="181"/>
      <c r="D170" s="183"/>
      <c r="E170" s="181"/>
      <c r="F170" s="184"/>
      <c r="G170" s="183"/>
      <c r="H170" s="187"/>
      <c r="I170" s="181"/>
      <c r="J170" s="189"/>
      <c r="K170" s="181"/>
      <c r="L170" s="183"/>
      <c r="M170" s="184"/>
      <c r="N170" s="181"/>
      <c r="O170" s="191"/>
      <c r="P170" s="191"/>
      <c r="Q170" s="191"/>
      <c r="R170" s="191"/>
      <c r="S170" s="191"/>
      <c r="T170" s="183"/>
      <c r="U170" s="183"/>
    </row>
    <row r="171" spans="1:21" x14ac:dyDescent="0.45">
      <c r="A171" s="179"/>
      <c r="C171" s="181"/>
      <c r="D171" s="183"/>
      <c r="E171" s="181"/>
      <c r="F171" s="184"/>
      <c r="G171" s="183"/>
      <c r="H171" s="187"/>
      <c r="I171" s="181"/>
      <c r="J171" s="189"/>
      <c r="K171" s="181"/>
      <c r="L171" s="183"/>
      <c r="M171" s="184"/>
      <c r="N171" s="181"/>
      <c r="O171" s="191"/>
      <c r="P171" s="191"/>
      <c r="Q171" s="191"/>
      <c r="R171" s="191"/>
      <c r="S171" s="191"/>
      <c r="T171" s="183"/>
      <c r="U171" s="183"/>
    </row>
    <row r="172" spans="1:21" x14ac:dyDescent="0.45">
      <c r="A172" s="179"/>
      <c r="C172" s="181"/>
      <c r="D172" s="183"/>
      <c r="E172" s="181"/>
      <c r="F172" s="184"/>
      <c r="G172" s="183"/>
      <c r="H172" s="187"/>
      <c r="I172" s="181"/>
      <c r="J172" s="189"/>
      <c r="K172" s="181"/>
      <c r="L172" s="183"/>
      <c r="M172" s="184"/>
      <c r="N172" s="181"/>
      <c r="O172" s="191"/>
      <c r="P172" s="191"/>
      <c r="Q172" s="191"/>
      <c r="R172" s="191"/>
      <c r="S172" s="191"/>
      <c r="T172" s="183"/>
      <c r="U172" s="183"/>
    </row>
    <row r="173" spans="1:21" x14ac:dyDescent="0.45">
      <c r="A173" s="179"/>
      <c r="C173" s="181"/>
      <c r="D173" s="183"/>
      <c r="E173" s="181"/>
      <c r="F173" s="184"/>
      <c r="G173" s="183"/>
      <c r="H173" s="187"/>
      <c r="I173" s="181"/>
      <c r="J173" s="189"/>
      <c r="K173" s="181"/>
      <c r="L173" s="183"/>
      <c r="M173" s="184"/>
      <c r="N173" s="181"/>
      <c r="O173" s="191"/>
      <c r="P173" s="191"/>
      <c r="Q173" s="191"/>
      <c r="R173" s="191"/>
      <c r="S173" s="191"/>
      <c r="T173" s="183"/>
      <c r="U173" s="183"/>
    </row>
    <row r="174" spans="1:21" x14ac:dyDescent="0.45">
      <c r="A174" s="179"/>
      <c r="C174" s="181"/>
      <c r="D174" s="183"/>
      <c r="E174" s="181"/>
      <c r="F174" s="184"/>
      <c r="G174" s="183"/>
      <c r="H174" s="187"/>
      <c r="I174" s="181"/>
      <c r="J174" s="189"/>
      <c r="K174" s="181"/>
      <c r="L174" s="183"/>
      <c r="M174" s="184"/>
      <c r="N174" s="181"/>
      <c r="O174" s="191"/>
      <c r="P174" s="191"/>
      <c r="Q174" s="191"/>
      <c r="R174" s="191"/>
      <c r="S174" s="191"/>
      <c r="T174" s="183"/>
      <c r="U174" s="183"/>
    </row>
    <row r="175" spans="1:21" x14ac:dyDescent="0.45">
      <c r="A175" s="179"/>
      <c r="C175" s="181"/>
      <c r="D175" s="183"/>
      <c r="E175" s="181"/>
      <c r="F175" s="184"/>
      <c r="G175" s="183"/>
      <c r="H175" s="187"/>
      <c r="I175" s="181"/>
      <c r="J175" s="189"/>
      <c r="K175" s="181"/>
      <c r="L175" s="183"/>
      <c r="M175" s="184"/>
      <c r="N175" s="181"/>
      <c r="O175" s="191"/>
      <c r="P175" s="191"/>
      <c r="Q175" s="191"/>
      <c r="R175" s="191"/>
      <c r="S175" s="191"/>
      <c r="T175" s="183"/>
      <c r="U175" s="183"/>
    </row>
    <row r="176" spans="1:21" x14ac:dyDescent="0.45">
      <c r="A176" s="179"/>
      <c r="C176" s="181"/>
      <c r="D176" s="183"/>
      <c r="E176" s="181"/>
      <c r="F176" s="184"/>
      <c r="G176" s="183"/>
      <c r="H176" s="187"/>
      <c r="I176" s="181"/>
      <c r="J176" s="189"/>
      <c r="K176" s="181"/>
      <c r="L176" s="183"/>
      <c r="M176" s="184"/>
      <c r="N176" s="181"/>
      <c r="O176" s="191"/>
      <c r="P176" s="191"/>
      <c r="Q176" s="191"/>
      <c r="R176" s="191"/>
      <c r="S176" s="191"/>
      <c r="T176" s="183"/>
      <c r="U176" s="183"/>
    </row>
    <row r="177" spans="1:21" x14ac:dyDescent="0.45">
      <c r="A177" s="179"/>
      <c r="C177" s="181"/>
      <c r="D177" s="183"/>
      <c r="E177" s="181"/>
      <c r="F177" s="184"/>
      <c r="G177" s="183"/>
      <c r="H177" s="187"/>
      <c r="I177" s="181"/>
      <c r="J177" s="189"/>
      <c r="K177" s="181"/>
      <c r="L177" s="183"/>
      <c r="M177" s="184"/>
      <c r="N177" s="181"/>
      <c r="O177" s="191"/>
      <c r="P177" s="191"/>
      <c r="Q177" s="191"/>
      <c r="R177" s="191"/>
      <c r="S177" s="191"/>
      <c r="T177" s="183"/>
      <c r="U177" s="183"/>
    </row>
    <row r="178" spans="1:21" x14ac:dyDescent="0.45">
      <c r="A178" s="179"/>
      <c r="C178" s="181"/>
      <c r="D178" s="183"/>
      <c r="E178" s="181"/>
      <c r="F178" s="184"/>
      <c r="G178" s="183"/>
      <c r="H178" s="187"/>
      <c r="I178" s="181"/>
      <c r="J178" s="189"/>
      <c r="K178" s="181"/>
      <c r="L178" s="183"/>
      <c r="M178" s="184"/>
      <c r="N178" s="181"/>
      <c r="O178" s="191"/>
      <c r="P178" s="191"/>
      <c r="Q178" s="191"/>
      <c r="R178" s="191"/>
      <c r="S178" s="191"/>
      <c r="T178" s="183"/>
      <c r="U178" s="183"/>
    </row>
    <row r="179" spans="1:21" x14ac:dyDescent="0.45">
      <c r="A179" s="179"/>
      <c r="C179" s="181"/>
      <c r="D179" s="183"/>
      <c r="E179" s="181"/>
      <c r="F179" s="184"/>
      <c r="G179" s="183"/>
      <c r="H179" s="187"/>
      <c r="I179" s="181"/>
      <c r="J179" s="189"/>
      <c r="K179" s="181"/>
      <c r="L179" s="183"/>
      <c r="M179" s="184"/>
      <c r="N179" s="181"/>
      <c r="O179" s="191"/>
      <c r="P179" s="191"/>
      <c r="Q179" s="191"/>
      <c r="R179" s="191"/>
      <c r="S179" s="191"/>
      <c r="T179" s="183"/>
      <c r="U179" s="183"/>
    </row>
    <row r="180" spans="1:21" x14ac:dyDescent="0.45">
      <c r="A180" s="179"/>
      <c r="C180" s="181"/>
      <c r="D180" s="183"/>
      <c r="E180" s="181"/>
      <c r="F180" s="184"/>
      <c r="G180" s="183"/>
      <c r="H180" s="187"/>
      <c r="I180" s="181"/>
      <c r="J180" s="189"/>
      <c r="K180" s="181"/>
      <c r="L180" s="183"/>
      <c r="M180" s="184"/>
      <c r="N180" s="181"/>
      <c r="O180" s="191"/>
      <c r="P180" s="191"/>
      <c r="Q180" s="191"/>
      <c r="R180" s="191"/>
      <c r="S180" s="191"/>
      <c r="T180" s="183"/>
      <c r="U180" s="183"/>
    </row>
    <row r="181" spans="1:21" x14ac:dyDescent="0.45">
      <c r="A181" s="179"/>
      <c r="C181" s="181"/>
      <c r="D181" s="183"/>
      <c r="E181" s="181"/>
      <c r="F181" s="184"/>
      <c r="G181" s="183"/>
      <c r="H181" s="187"/>
      <c r="I181" s="181"/>
      <c r="J181" s="189"/>
      <c r="K181" s="181"/>
      <c r="L181" s="183"/>
      <c r="M181" s="184"/>
      <c r="N181" s="181"/>
      <c r="O181" s="191"/>
      <c r="P181" s="191"/>
      <c r="Q181" s="191"/>
      <c r="R181" s="191"/>
      <c r="S181" s="191"/>
      <c r="T181" s="183"/>
      <c r="U181" s="183"/>
    </row>
    <row r="182" spans="1:21" x14ac:dyDescent="0.45">
      <c r="A182" s="179"/>
      <c r="C182" s="181"/>
      <c r="D182" s="183"/>
      <c r="E182" s="181"/>
      <c r="F182" s="184"/>
      <c r="G182" s="183"/>
      <c r="H182" s="187"/>
      <c r="I182" s="181"/>
      <c r="J182" s="189"/>
      <c r="K182" s="181"/>
      <c r="L182" s="183"/>
      <c r="M182" s="184"/>
      <c r="N182" s="181"/>
      <c r="O182" s="191"/>
      <c r="P182" s="191"/>
      <c r="Q182" s="191"/>
      <c r="R182" s="191"/>
      <c r="S182" s="191"/>
      <c r="T182" s="183"/>
      <c r="U182" s="183"/>
    </row>
    <row r="183" spans="1:21" x14ac:dyDescent="0.45">
      <c r="A183" s="179"/>
      <c r="C183" s="181"/>
      <c r="D183" s="183"/>
      <c r="E183" s="181"/>
      <c r="F183" s="184"/>
      <c r="G183" s="183"/>
      <c r="H183" s="187"/>
      <c r="I183" s="181"/>
      <c r="J183" s="189"/>
      <c r="K183" s="181"/>
      <c r="L183" s="183"/>
      <c r="M183" s="184"/>
      <c r="N183" s="181"/>
      <c r="O183" s="191"/>
      <c r="P183" s="191"/>
      <c r="Q183" s="191"/>
      <c r="R183" s="191"/>
      <c r="S183" s="191"/>
      <c r="T183" s="183"/>
      <c r="U183" s="183"/>
    </row>
    <row r="184" spans="1:21" x14ac:dyDescent="0.45">
      <c r="A184" s="179"/>
      <c r="C184" s="181"/>
      <c r="D184" s="183"/>
      <c r="E184" s="181"/>
      <c r="F184" s="184"/>
      <c r="G184" s="183"/>
      <c r="H184" s="187"/>
      <c r="I184" s="181"/>
      <c r="J184" s="189"/>
      <c r="K184" s="181"/>
      <c r="L184" s="183"/>
      <c r="M184" s="184"/>
      <c r="N184" s="181"/>
      <c r="O184" s="191"/>
      <c r="P184" s="191"/>
      <c r="Q184" s="191"/>
      <c r="R184" s="191"/>
      <c r="S184" s="191"/>
      <c r="T184" s="183"/>
      <c r="U184" s="183"/>
    </row>
    <row r="185" spans="1:21" x14ac:dyDescent="0.45">
      <c r="A185" s="179"/>
      <c r="C185" s="181"/>
      <c r="D185" s="183"/>
      <c r="E185" s="181"/>
      <c r="F185" s="184"/>
      <c r="G185" s="183"/>
      <c r="H185" s="187"/>
      <c r="I185" s="181"/>
      <c r="J185" s="189"/>
      <c r="K185" s="181"/>
      <c r="L185" s="183"/>
      <c r="M185" s="184"/>
      <c r="N185" s="181"/>
      <c r="O185" s="191"/>
      <c r="P185" s="191"/>
      <c r="Q185" s="191"/>
      <c r="R185" s="191"/>
      <c r="S185" s="191"/>
      <c r="T185" s="183"/>
      <c r="U185" s="183"/>
    </row>
    <row r="186" spans="1:21" x14ac:dyDescent="0.45">
      <c r="A186" s="179"/>
      <c r="C186" s="181"/>
      <c r="D186" s="183"/>
      <c r="E186" s="181"/>
      <c r="F186" s="184"/>
      <c r="G186" s="183"/>
      <c r="H186" s="187"/>
      <c r="I186" s="181"/>
      <c r="J186" s="189"/>
      <c r="K186" s="181"/>
      <c r="L186" s="183"/>
      <c r="M186" s="184"/>
      <c r="N186" s="181"/>
      <c r="O186" s="191"/>
      <c r="P186" s="191"/>
      <c r="Q186" s="191"/>
      <c r="R186" s="191"/>
      <c r="S186" s="191"/>
      <c r="T186" s="183"/>
      <c r="U186" s="183"/>
    </row>
    <row r="187" spans="1:21" x14ac:dyDescent="0.45">
      <c r="A187" s="179"/>
      <c r="C187" s="181"/>
      <c r="D187" s="183"/>
      <c r="E187" s="181"/>
      <c r="F187" s="184"/>
      <c r="G187" s="183"/>
      <c r="H187" s="187"/>
      <c r="I187" s="181"/>
      <c r="J187" s="189"/>
      <c r="K187" s="181"/>
      <c r="L187" s="183"/>
      <c r="M187" s="184"/>
      <c r="N187" s="181"/>
      <c r="O187" s="191"/>
      <c r="P187" s="191"/>
      <c r="Q187" s="191"/>
      <c r="R187" s="191"/>
      <c r="S187" s="191"/>
      <c r="T187" s="183"/>
      <c r="U187" s="183"/>
    </row>
    <row r="188" spans="1:21" x14ac:dyDescent="0.45">
      <c r="A188" s="179"/>
      <c r="C188" s="181"/>
      <c r="D188" s="183"/>
      <c r="E188" s="181"/>
      <c r="F188" s="184"/>
      <c r="G188" s="183"/>
      <c r="H188" s="187"/>
      <c r="I188" s="181"/>
      <c r="J188" s="189"/>
      <c r="K188" s="181"/>
      <c r="L188" s="183"/>
      <c r="M188" s="184"/>
      <c r="N188" s="181"/>
      <c r="O188" s="191"/>
      <c r="P188" s="191"/>
      <c r="Q188" s="191"/>
      <c r="R188" s="191"/>
      <c r="S188" s="191"/>
      <c r="T188" s="183"/>
      <c r="U188" s="183"/>
    </row>
    <row r="189" spans="1:21" x14ac:dyDescent="0.45">
      <c r="A189" s="179"/>
      <c r="C189" s="181"/>
      <c r="D189" s="183"/>
      <c r="E189" s="181"/>
      <c r="F189" s="184"/>
      <c r="G189" s="183"/>
      <c r="H189" s="187"/>
      <c r="I189" s="181"/>
      <c r="J189" s="189"/>
      <c r="K189" s="181"/>
      <c r="L189" s="183"/>
      <c r="M189" s="184"/>
      <c r="N189" s="181"/>
      <c r="O189" s="191"/>
      <c r="P189" s="191"/>
      <c r="Q189" s="191"/>
      <c r="R189" s="191"/>
      <c r="S189" s="191"/>
      <c r="T189" s="183"/>
      <c r="U189" s="183"/>
    </row>
    <row r="190" spans="1:21" x14ac:dyDescent="0.45">
      <c r="A190" s="179"/>
      <c r="C190" s="181"/>
      <c r="D190" s="183"/>
      <c r="E190" s="181"/>
      <c r="F190" s="184"/>
      <c r="G190" s="183"/>
      <c r="H190" s="187"/>
      <c r="I190" s="181"/>
      <c r="J190" s="189"/>
      <c r="K190" s="181"/>
      <c r="L190" s="183"/>
      <c r="M190" s="184"/>
      <c r="N190" s="181"/>
      <c r="O190" s="191"/>
      <c r="P190" s="191"/>
      <c r="Q190" s="191"/>
      <c r="R190" s="191"/>
      <c r="S190" s="191"/>
      <c r="T190" s="183"/>
      <c r="U190" s="183"/>
    </row>
    <row r="191" spans="1:21" x14ac:dyDescent="0.45">
      <c r="A191" s="179"/>
      <c r="C191" s="181"/>
      <c r="D191" s="183"/>
      <c r="E191" s="181"/>
      <c r="F191" s="184"/>
      <c r="G191" s="183"/>
      <c r="H191" s="187"/>
      <c r="I191" s="181"/>
      <c r="J191" s="189"/>
      <c r="K191" s="181"/>
      <c r="L191" s="183"/>
      <c r="M191" s="184"/>
      <c r="N191" s="181"/>
      <c r="O191" s="191"/>
      <c r="P191" s="191"/>
      <c r="Q191" s="191"/>
      <c r="R191" s="191"/>
      <c r="S191" s="191"/>
      <c r="T191" s="183"/>
      <c r="U191" s="183"/>
    </row>
    <row r="192" spans="1:21" x14ac:dyDescent="0.45">
      <c r="A192" s="179"/>
      <c r="C192" s="181"/>
      <c r="D192" s="183"/>
      <c r="E192" s="181"/>
      <c r="F192" s="184"/>
      <c r="G192" s="183"/>
      <c r="H192" s="187"/>
      <c r="I192" s="181"/>
      <c r="J192" s="189"/>
      <c r="K192" s="181"/>
      <c r="L192" s="183"/>
      <c r="M192" s="184"/>
      <c r="N192" s="181"/>
      <c r="O192" s="191"/>
      <c r="P192" s="191"/>
      <c r="Q192" s="191"/>
      <c r="R192" s="191"/>
      <c r="S192" s="191"/>
      <c r="T192" s="183"/>
      <c r="U192" s="183"/>
    </row>
    <row r="193" spans="1:21" x14ac:dyDescent="0.45">
      <c r="A193" s="179"/>
      <c r="C193" s="181"/>
      <c r="D193" s="183"/>
      <c r="E193" s="181"/>
      <c r="F193" s="184"/>
      <c r="G193" s="183"/>
      <c r="H193" s="187"/>
      <c r="I193" s="181"/>
      <c r="J193" s="189"/>
      <c r="K193" s="181"/>
      <c r="L193" s="183"/>
      <c r="M193" s="184"/>
      <c r="N193" s="181"/>
      <c r="O193" s="191"/>
      <c r="P193" s="191"/>
      <c r="Q193" s="191"/>
      <c r="R193" s="191"/>
      <c r="S193" s="191"/>
      <c r="T193" s="183"/>
      <c r="U193" s="183"/>
    </row>
    <row r="194" spans="1:21" x14ac:dyDescent="0.45">
      <c r="A194" s="179"/>
      <c r="C194" s="181"/>
      <c r="D194" s="183"/>
      <c r="E194" s="181"/>
      <c r="F194" s="184"/>
      <c r="G194" s="183"/>
      <c r="H194" s="187"/>
      <c r="I194" s="181"/>
      <c r="J194" s="189"/>
      <c r="K194" s="181"/>
      <c r="L194" s="183"/>
      <c r="M194" s="184"/>
      <c r="N194" s="181"/>
      <c r="O194" s="191"/>
      <c r="P194" s="191"/>
      <c r="Q194" s="191"/>
      <c r="R194" s="191"/>
      <c r="S194" s="191"/>
      <c r="T194" s="183"/>
      <c r="U194" s="183"/>
    </row>
    <row r="195" spans="1:21" x14ac:dyDescent="0.45">
      <c r="A195" s="179"/>
      <c r="C195" s="181"/>
      <c r="D195" s="183"/>
      <c r="E195" s="181"/>
      <c r="F195" s="184"/>
      <c r="G195" s="183"/>
      <c r="H195" s="187"/>
      <c r="I195" s="181"/>
      <c r="J195" s="189"/>
      <c r="K195" s="181"/>
      <c r="L195" s="183"/>
      <c r="M195" s="184"/>
      <c r="N195" s="181"/>
      <c r="O195" s="191"/>
      <c r="P195" s="191"/>
      <c r="Q195" s="191"/>
      <c r="R195" s="191"/>
      <c r="S195" s="191"/>
      <c r="T195" s="183"/>
      <c r="U195" s="183"/>
    </row>
    <row r="196" spans="1:21" x14ac:dyDescent="0.45">
      <c r="A196" s="179"/>
      <c r="C196" s="181"/>
      <c r="D196" s="183"/>
      <c r="E196" s="181"/>
      <c r="F196" s="184"/>
      <c r="G196" s="183"/>
      <c r="H196" s="187"/>
      <c r="I196" s="181"/>
      <c r="J196" s="189"/>
      <c r="K196" s="181"/>
      <c r="L196" s="183"/>
      <c r="M196" s="184"/>
      <c r="N196" s="181"/>
      <c r="O196" s="191"/>
      <c r="P196" s="191"/>
      <c r="Q196" s="191"/>
      <c r="R196" s="191"/>
      <c r="S196" s="191"/>
      <c r="T196" s="183"/>
      <c r="U196" s="183"/>
    </row>
    <row r="197" spans="1:21" x14ac:dyDescent="0.45">
      <c r="A197" s="179"/>
      <c r="C197" s="181"/>
      <c r="D197" s="183"/>
      <c r="E197" s="181"/>
      <c r="F197" s="184"/>
      <c r="G197" s="183"/>
      <c r="H197" s="187"/>
      <c r="I197" s="181"/>
      <c r="J197" s="189"/>
      <c r="K197" s="181"/>
      <c r="L197" s="183"/>
      <c r="M197" s="184"/>
      <c r="N197" s="181"/>
      <c r="O197" s="191"/>
      <c r="P197" s="191"/>
      <c r="Q197" s="191"/>
      <c r="R197" s="191"/>
      <c r="S197" s="191"/>
      <c r="T197" s="183"/>
      <c r="U197" s="183"/>
    </row>
    <row r="198" spans="1:21" x14ac:dyDescent="0.45">
      <c r="A198" s="179"/>
      <c r="C198" s="181"/>
      <c r="D198" s="183"/>
      <c r="E198" s="181"/>
      <c r="F198" s="184"/>
      <c r="G198" s="183"/>
      <c r="H198" s="187"/>
      <c r="I198" s="181"/>
      <c r="J198" s="189"/>
      <c r="K198" s="181"/>
      <c r="L198" s="183"/>
      <c r="M198" s="184"/>
      <c r="N198" s="181"/>
      <c r="O198" s="191"/>
      <c r="P198" s="191"/>
      <c r="Q198" s="191"/>
      <c r="R198" s="191"/>
      <c r="S198" s="191"/>
      <c r="T198" s="183"/>
      <c r="U198" s="183"/>
    </row>
    <row r="199" spans="1:21" x14ac:dyDescent="0.45">
      <c r="A199" s="179"/>
      <c r="C199" s="181"/>
      <c r="D199" s="183"/>
      <c r="E199" s="181"/>
      <c r="F199" s="184"/>
      <c r="G199" s="183"/>
      <c r="H199" s="187"/>
      <c r="I199" s="181"/>
      <c r="J199" s="189"/>
      <c r="K199" s="181"/>
      <c r="L199" s="183"/>
      <c r="M199" s="184"/>
      <c r="N199" s="181"/>
      <c r="O199" s="191"/>
      <c r="P199" s="191"/>
      <c r="Q199" s="191"/>
      <c r="R199" s="191"/>
      <c r="S199" s="191"/>
      <c r="T199" s="183"/>
      <c r="U199" s="183"/>
    </row>
    <row r="200" spans="1:21" x14ac:dyDescent="0.45">
      <c r="A200" s="179"/>
      <c r="C200" s="181"/>
      <c r="D200" s="183"/>
      <c r="E200" s="181"/>
      <c r="F200" s="184"/>
      <c r="G200" s="183"/>
      <c r="H200" s="187"/>
      <c r="I200" s="181"/>
      <c r="J200" s="189"/>
      <c r="K200" s="181"/>
      <c r="L200" s="183"/>
      <c r="M200" s="184"/>
      <c r="N200" s="181"/>
      <c r="O200" s="191"/>
      <c r="P200" s="191"/>
      <c r="Q200" s="191"/>
      <c r="R200" s="191"/>
      <c r="S200" s="191"/>
      <c r="T200" s="183"/>
      <c r="U200" s="183"/>
    </row>
    <row r="201" spans="1:21" x14ac:dyDescent="0.45">
      <c r="A201" s="179"/>
      <c r="C201" s="181"/>
      <c r="D201" s="183"/>
      <c r="E201" s="181"/>
      <c r="F201" s="184"/>
      <c r="G201" s="183"/>
      <c r="H201" s="187"/>
      <c r="I201" s="181"/>
      <c r="J201" s="189"/>
      <c r="K201" s="181"/>
      <c r="L201" s="183"/>
      <c r="M201" s="184"/>
      <c r="N201" s="181"/>
      <c r="O201" s="191"/>
      <c r="P201" s="191"/>
      <c r="Q201" s="191"/>
      <c r="R201" s="191"/>
      <c r="S201" s="191"/>
      <c r="T201" s="183"/>
      <c r="U201" s="183"/>
    </row>
  </sheetData>
  <mergeCells count="1">
    <mergeCell ref="A1:U1"/>
  </mergeCells>
  <conditionalFormatting sqref="G5:G201">
    <cfRule type="cellIs" dxfId="8" priority="1" operator="between">
      <formula>0</formula>
      <formula>39</formula>
    </cfRule>
    <cfRule type="cellIs" dxfId="7" priority="2" operator="between">
      <formula>40</formula>
      <formula>59</formula>
    </cfRule>
    <cfRule type="cellIs" dxfId="6" priority="3" operator="between">
      <formula>60</formula>
      <formula>100</formula>
    </cfRule>
  </conditionalFormatting>
  <conditionalFormatting sqref="L5:L201">
    <cfRule type="cellIs" dxfId="5" priority="4" operator="between">
      <formula>0</formula>
      <formula>39</formula>
    </cfRule>
    <cfRule type="cellIs" dxfId="4" priority="5" operator="between">
      <formula>40</formula>
      <formula>59</formula>
    </cfRule>
    <cfRule type="cellIs" dxfId="3" priority="6" operator="between">
      <formula>60</formula>
      <formula>100</formula>
    </cfRule>
  </conditionalFormatting>
  <conditionalFormatting sqref="T5:U201">
    <cfRule type="cellIs" dxfId="2" priority="7" operator="between">
      <formula>0</formula>
      <formula>39</formula>
    </cfRule>
    <cfRule type="cellIs" dxfId="1" priority="8" operator="between">
      <formula>40</formula>
      <formula>59</formula>
    </cfRule>
    <cfRule type="cellIs" dxfId="0" priority="9" operator="between">
      <formula>60</formula>
      <formula>100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BEB7A-3342-4894-A9EF-09118FE175F7}">
  <sheetPr>
    <tabColor rgb="FF4A6FA5"/>
  </sheetPr>
  <dimension ref="A1:F85"/>
  <sheetViews>
    <sheetView workbookViewId="0">
      <pane ySplit="4" topLeftCell="A5" activePane="bottomLeft" state="frozen"/>
      <selection pane="bottomLeft" activeCell="A9" sqref="A9"/>
    </sheetView>
  </sheetViews>
  <sheetFormatPr baseColWidth="10" defaultRowHeight="14.25" x14ac:dyDescent="0.45"/>
  <cols>
    <col min="1" max="1" width="88.1328125" bestFit="1" customWidth="1"/>
    <col min="2" max="2" width="30.53125" customWidth="1"/>
    <col min="3" max="3" width="59.19921875" customWidth="1"/>
    <col min="4" max="4" width="17.9296875" customWidth="1"/>
    <col min="5" max="5" width="14.3984375" customWidth="1"/>
    <col min="6" max="6" width="39.46484375" customWidth="1"/>
  </cols>
  <sheetData>
    <row r="1" spans="1:6" ht="20.65" x14ac:dyDescent="0.6">
      <c r="A1" s="193" t="s">
        <v>160</v>
      </c>
      <c r="C1" s="195"/>
      <c r="D1" s="195"/>
      <c r="F1" s="195"/>
    </row>
    <row r="2" spans="1:6" x14ac:dyDescent="0.45">
      <c r="A2" s="194" t="s">
        <v>161</v>
      </c>
      <c r="C2" s="195"/>
      <c r="D2" s="195"/>
      <c r="F2" s="195"/>
    </row>
    <row r="3" spans="1:6" ht="28.05" customHeight="1" x14ac:dyDescent="0.45">
      <c r="A3" s="196" t="s">
        <v>165</v>
      </c>
      <c r="B3" s="197"/>
      <c r="C3" s="198"/>
      <c r="D3" s="198"/>
      <c r="E3" s="197"/>
      <c r="F3" s="198"/>
    </row>
    <row r="4" spans="1:6" ht="22.05" customHeight="1" x14ac:dyDescent="0.45">
      <c r="A4" s="199" t="s">
        <v>2</v>
      </c>
      <c r="B4" s="200" t="s">
        <v>3</v>
      </c>
      <c r="C4" s="201" t="s">
        <v>162</v>
      </c>
      <c r="D4" s="201" t="s">
        <v>163</v>
      </c>
      <c r="E4" s="199" t="s">
        <v>11</v>
      </c>
      <c r="F4" s="201" t="s">
        <v>164</v>
      </c>
    </row>
    <row r="5" spans="1:6" ht="63.75" x14ac:dyDescent="0.45">
      <c r="A5" s="202">
        <v>1</v>
      </c>
      <c r="B5" s="203" t="s">
        <v>13</v>
      </c>
      <c r="C5" s="204" t="s">
        <v>166</v>
      </c>
      <c r="D5" s="205" t="s">
        <v>167</v>
      </c>
      <c r="E5" s="206">
        <v>0.3</v>
      </c>
      <c r="F5" s="205" t="s">
        <v>168</v>
      </c>
    </row>
    <row r="6" spans="1:6" ht="63.75" x14ac:dyDescent="0.45">
      <c r="A6" s="207">
        <v>2</v>
      </c>
      <c r="B6" s="208" t="s">
        <v>15</v>
      </c>
      <c r="C6" s="209" t="s">
        <v>169</v>
      </c>
      <c r="D6" s="210" t="s">
        <v>170</v>
      </c>
      <c r="E6" s="211">
        <v>0.3</v>
      </c>
      <c r="F6" s="210" t="s">
        <v>171</v>
      </c>
    </row>
    <row r="7" spans="1:6" ht="63.75" x14ac:dyDescent="0.45">
      <c r="A7" s="202">
        <v>3</v>
      </c>
      <c r="B7" s="203" t="s">
        <v>172</v>
      </c>
      <c r="C7" s="204" t="s">
        <v>173</v>
      </c>
      <c r="D7" s="205" t="s">
        <v>174</v>
      </c>
      <c r="E7" s="206">
        <v>0.2</v>
      </c>
      <c r="F7" s="205" t="s">
        <v>175</v>
      </c>
    </row>
    <row r="8" spans="1:6" ht="63.75" x14ac:dyDescent="0.45">
      <c r="A8" s="207">
        <v>4</v>
      </c>
      <c r="B8" s="208" t="s">
        <v>17</v>
      </c>
      <c r="C8" s="209" t="s">
        <v>176</v>
      </c>
      <c r="D8" s="210" t="s">
        <v>177</v>
      </c>
      <c r="E8" s="211">
        <v>0.2</v>
      </c>
      <c r="F8" s="210" t="s">
        <v>178</v>
      </c>
    </row>
    <row r="9" spans="1:6" ht="10.050000000000001" customHeight="1" x14ac:dyDescent="0.45">
      <c r="A9" s="197"/>
      <c r="B9" s="197"/>
      <c r="C9" s="198"/>
      <c r="D9" s="198"/>
      <c r="E9" s="197"/>
      <c r="F9" s="198"/>
    </row>
    <row r="10" spans="1:6" ht="28.05" customHeight="1" x14ac:dyDescent="0.45">
      <c r="A10" s="196" t="s">
        <v>179</v>
      </c>
      <c r="B10" s="197"/>
      <c r="C10" s="198"/>
      <c r="D10" s="198"/>
      <c r="E10" s="197"/>
      <c r="F10" s="198"/>
    </row>
    <row r="11" spans="1:6" ht="22.05" customHeight="1" x14ac:dyDescent="0.45">
      <c r="A11" s="212" t="s">
        <v>2</v>
      </c>
      <c r="B11" s="213" t="s">
        <v>3</v>
      </c>
      <c r="C11" s="214" t="s">
        <v>162</v>
      </c>
      <c r="D11" s="214" t="s">
        <v>163</v>
      </c>
      <c r="E11" s="212" t="s">
        <v>11</v>
      </c>
      <c r="F11" s="214" t="s">
        <v>164</v>
      </c>
    </row>
    <row r="12" spans="1:6" ht="55.05" customHeight="1" x14ac:dyDescent="0.45">
      <c r="A12" s="202">
        <v>1</v>
      </c>
      <c r="B12" s="203" t="s">
        <v>57</v>
      </c>
      <c r="C12" s="204" t="s">
        <v>180</v>
      </c>
      <c r="D12" s="205" t="s">
        <v>181</v>
      </c>
      <c r="E12" s="206">
        <v>0.25</v>
      </c>
      <c r="F12" s="205" t="s">
        <v>182</v>
      </c>
    </row>
    <row r="13" spans="1:6" ht="55.05" customHeight="1" x14ac:dyDescent="0.45">
      <c r="A13" s="207">
        <v>2</v>
      </c>
      <c r="B13" s="208" t="s">
        <v>58</v>
      </c>
      <c r="C13" s="209" t="s">
        <v>183</v>
      </c>
      <c r="D13" s="210" t="s">
        <v>184</v>
      </c>
      <c r="E13" s="211">
        <v>0.2</v>
      </c>
      <c r="F13" s="210" t="s">
        <v>182</v>
      </c>
    </row>
    <row r="14" spans="1:6" ht="55.05" customHeight="1" x14ac:dyDescent="0.45">
      <c r="A14" s="202">
        <v>3</v>
      </c>
      <c r="B14" s="203" t="s">
        <v>185</v>
      </c>
      <c r="C14" s="204" t="s">
        <v>186</v>
      </c>
      <c r="D14" s="205" t="s">
        <v>187</v>
      </c>
      <c r="E14" s="206">
        <v>0.1</v>
      </c>
      <c r="F14" s="205" t="s">
        <v>188</v>
      </c>
    </row>
    <row r="15" spans="1:6" ht="55.05" customHeight="1" x14ac:dyDescent="0.45">
      <c r="A15" s="207">
        <v>4</v>
      </c>
      <c r="B15" s="208" t="s">
        <v>62</v>
      </c>
      <c r="C15" s="209" t="s">
        <v>189</v>
      </c>
      <c r="D15" s="210" t="s">
        <v>190</v>
      </c>
      <c r="E15" s="211">
        <v>0.2</v>
      </c>
      <c r="F15" s="210" t="s">
        <v>191</v>
      </c>
    </row>
    <row r="16" spans="1:6" ht="55.05" customHeight="1" x14ac:dyDescent="0.45">
      <c r="A16" s="202">
        <v>5</v>
      </c>
      <c r="B16" s="203" t="s">
        <v>63</v>
      </c>
      <c r="C16" s="204" t="s">
        <v>192</v>
      </c>
      <c r="D16" s="205" t="s">
        <v>193</v>
      </c>
      <c r="E16" s="206">
        <v>0.2</v>
      </c>
      <c r="F16" s="205" t="s">
        <v>191</v>
      </c>
    </row>
    <row r="17" spans="1:6" ht="55.05" customHeight="1" x14ac:dyDescent="0.45">
      <c r="A17" s="207">
        <v>6</v>
      </c>
      <c r="B17" s="208" t="s">
        <v>64</v>
      </c>
      <c r="C17" s="209" t="s">
        <v>194</v>
      </c>
      <c r="D17" s="210" t="s">
        <v>195</v>
      </c>
      <c r="E17" s="211">
        <v>0.05</v>
      </c>
      <c r="F17" s="210" t="s">
        <v>196</v>
      </c>
    </row>
    <row r="18" spans="1:6" ht="10.050000000000001" customHeight="1" x14ac:dyDescent="0.45">
      <c r="A18" s="197"/>
      <c r="B18" s="197"/>
      <c r="C18" s="198"/>
      <c r="D18" s="198"/>
      <c r="E18" s="197"/>
      <c r="F18" s="198"/>
    </row>
    <row r="19" spans="1:6" ht="28.05" customHeight="1" x14ac:dyDescent="0.45">
      <c r="A19" s="196" t="s">
        <v>197</v>
      </c>
      <c r="B19" s="197"/>
      <c r="C19" s="198"/>
      <c r="D19" s="198"/>
      <c r="E19" s="197"/>
      <c r="F19" s="198"/>
    </row>
    <row r="20" spans="1:6" ht="22.05" customHeight="1" x14ac:dyDescent="0.45">
      <c r="A20" s="215" t="s">
        <v>2</v>
      </c>
      <c r="B20" s="216" t="s">
        <v>3</v>
      </c>
      <c r="C20" s="217" t="s">
        <v>162</v>
      </c>
      <c r="D20" s="217" t="s">
        <v>163</v>
      </c>
      <c r="E20" s="215" t="s">
        <v>11</v>
      </c>
      <c r="F20" s="217" t="s">
        <v>164</v>
      </c>
    </row>
    <row r="21" spans="1:6" ht="55.05" customHeight="1" x14ac:dyDescent="0.45">
      <c r="A21" s="202">
        <v>1</v>
      </c>
      <c r="B21" s="203" t="s">
        <v>86</v>
      </c>
      <c r="C21" s="204" t="s">
        <v>198</v>
      </c>
      <c r="D21" s="205" t="s">
        <v>199</v>
      </c>
      <c r="E21" s="206">
        <v>0.15</v>
      </c>
      <c r="F21" s="205" t="s">
        <v>200</v>
      </c>
    </row>
    <row r="22" spans="1:6" ht="55.05" customHeight="1" x14ac:dyDescent="0.45">
      <c r="A22" s="207">
        <v>2</v>
      </c>
      <c r="B22" s="208" t="s">
        <v>90</v>
      </c>
      <c r="C22" s="209" t="s">
        <v>201</v>
      </c>
      <c r="D22" s="210" t="s">
        <v>202</v>
      </c>
      <c r="E22" s="211">
        <v>0.1</v>
      </c>
      <c r="F22" s="210" t="s">
        <v>203</v>
      </c>
    </row>
    <row r="23" spans="1:6" ht="55.05" customHeight="1" x14ac:dyDescent="0.45">
      <c r="A23" s="202">
        <v>3</v>
      </c>
      <c r="B23" s="203" t="s">
        <v>94</v>
      </c>
      <c r="C23" s="204" t="s">
        <v>204</v>
      </c>
      <c r="D23" s="205" t="s">
        <v>205</v>
      </c>
      <c r="E23" s="206">
        <v>0.1</v>
      </c>
      <c r="F23" s="205" t="s">
        <v>206</v>
      </c>
    </row>
    <row r="24" spans="1:6" ht="55.05" customHeight="1" x14ac:dyDescent="0.45">
      <c r="A24" s="207">
        <v>4</v>
      </c>
      <c r="B24" s="208" t="s">
        <v>98</v>
      </c>
      <c r="C24" s="209" t="s">
        <v>207</v>
      </c>
      <c r="D24" s="210" t="s">
        <v>208</v>
      </c>
      <c r="E24" s="211">
        <v>0.1</v>
      </c>
      <c r="F24" s="210" t="s">
        <v>209</v>
      </c>
    </row>
    <row r="25" spans="1:6" ht="55.05" customHeight="1" x14ac:dyDescent="0.45">
      <c r="A25" s="202">
        <v>5</v>
      </c>
      <c r="B25" s="203" t="s">
        <v>101</v>
      </c>
      <c r="C25" s="204" t="s">
        <v>210</v>
      </c>
      <c r="D25" s="205" t="s">
        <v>211</v>
      </c>
      <c r="E25" s="206">
        <v>0.1</v>
      </c>
      <c r="F25" s="205" t="s">
        <v>212</v>
      </c>
    </row>
    <row r="26" spans="1:6" ht="55.05" customHeight="1" x14ac:dyDescent="0.45">
      <c r="A26" s="207">
        <v>6</v>
      </c>
      <c r="B26" s="208" t="s">
        <v>105</v>
      </c>
      <c r="C26" s="209" t="s">
        <v>213</v>
      </c>
      <c r="D26" s="210" t="s">
        <v>214</v>
      </c>
      <c r="E26" s="211">
        <v>0.15</v>
      </c>
      <c r="F26" s="210" t="s">
        <v>215</v>
      </c>
    </row>
    <row r="27" spans="1:6" ht="55.05" customHeight="1" x14ac:dyDescent="0.45">
      <c r="A27" s="202">
        <v>7</v>
      </c>
      <c r="B27" s="203" t="s">
        <v>437</v>
      </c>
      <c r="C27" s="204" t="s">
        <v>453</v>
      </c>
      <c r="D27" s="205" t="s">
        <v>454</v>
      </c>
      <c r="E27" s="206">
        <v>0.1</v>
      </c>
      <c r="F27" s="205" t="s">
        <v>455</v>
      </c>
    </row>
    <row r="28" spans="1:6" ht="55.05" customHeight="1" x14ac:dyDescent="0.45">
      <c r="A28" s="207">
        <v>8</v>
      </c>
      <c r="B28" s="208" t="s">
        <v>441</v>
      </c>
      <c r="C28" s="209" t="s">
        <v>456</v>
      </c>
      <c r="D28" s="210" t="s">
        <v>457</v>
      </c>
      <c r="E28" s="211">
        <v>0.05</v>
      </c>
      <c r="F28" s="210" t="s">
        <v>458</v>
      </c>
    </row>
    <row r="29" spans="1:6" ht="55.05" customHeight="1" x14ac:dyDescent="0.45">
      <c r="A29" s="202">
        <v>9</v>
      </c>
      <c r="B29" s="203" t="s">
        <v>445</v>
      </c>
      <c r="C29" s="204" t="s">
        <v>459</v>
      </c>
      <c r="D29" s="205" t="s">
        <v>460</v>
      </c>
      <c r="E29" s="206">
        <v>0.1</v>
      </c>
      <c r="F29" s="205" t="s">
        <v>461</v>
      </c>
    </row>
    <row r="30" spans="1:6" ht="55.05" customHeight="1" x14ac:dyDescent="0.45">
      <c r="A30" s="207">
        <v>10</v>
      </c>
      <c r="B30" s="208" t="s">
        <v>449</v>
      </c>
      <c r="C30" s="209" t="s">
        <v>462</v>
      </c>
      <c r="D30" s="210" t="s">
        <v>463</v>
      </c>
      <c r="E30" s="211">
        <v>0.05</v>
      </c>
      <c r="F30" s="210" t="s">
        <v>464</v>
      </c>
    </row>
    <row r="31" spans="1:6" ht="10.050000000000001" customHeight="1" x14ac:dyDescent="0.45">
      <c r="A31" s="197"/>
      <c r="B31" s="197"/>
      <c r="C31" s="198"/>
      <c r="D31" s="198"/>
      <c r="E31" s="197"/>
      <c r="F31" s="198"/>
    </row>
    <row r="32" spans="1:6" ht="28.05" customHeight="1" x14ac:dyDescent="0.45">
      <c r="A32" s="218" t="s">
        <v>216</v>
      </c>
      <c r="B32" s="197"/>
      <c r="C32" s="198"/>
      <c r="D32" s="198"/>
      <c r="E32" s="197"/>
      <c r="F32" s="198"/>
    </row>
    <row r="33" spans="1:6" ht="55.05" customHeight="1" x14ac:dyDescent="0.45">
      <c r="A33" s="197"/>
      <c r="B33" s="219" t="s">
        <v>217</v>
      </c>
      <c r="C33" s="209" t="s">
        <v>218</v>
      </c>
      <c r="D33" s="198"/>
      <c r="E33" s="197"/>
      <c r="F33" s="198"/>
    </row>
    <row r="34" spans="1:6" ht="10.050000000000001" customHeight="1" x14ac:dyDescent="0.45">
      <c r="A34" s="197"/>
      <c r="B34" s="197"/>
      <c r="C34" s="198"/>
      <c r="D34" s="198"/>
      <c r="E34" s="197"/>
      <c r="F34" s="198"/>
    </row>
    <row r="35" spans="1:6" ht="22.05" customHeight="1" x14ac:dyDescent="0.45">
      <c r="A35" s="220" t="s">
        <v>2</v>
      </c>
      <c r="B35" s="221" t="s">
        <v>25</v>
      </c>
      <c r="C35" s="222" t="s">
        <v>219</v>
      </c>
      <c r="D35" s="223" t="s">
        <v>220</v>
      </c>
      <c r="E35" s="197"/>
      <c r="F35" s="222" t="s">
        <v>221</v>
      </c>
    </row>
    <row r="36" spans="1:6" ht="55.05" customHeight="1" x14ac:dyDescent="0.45">
      <c r="A36" s="224">
        <v>1</v>
      </c>
      <c r="B36" s="225" t="s">
        <v>30</v>
      </c>
      <c r="C36" s="226" t="s">
        <v>222</v>
      </c>
      <c r="D36" s="227" t="s">
        <v>131</v>
      </c>
      <c r="E36" s="197"/>
      <c r="F36" s="228" t="s">
        <v>223</v>
      </c>
    </row>
    <row r="37" spans="1:6" ht="55.05" customHeight="1" x14ac:dyDescent="0.45">
      <c r="A37" s="229">
        <v>2</v>
      </c>
      <c r="B37" s="219" t="s">
        <v>32</v>
      </c>
      <c r="C37" s="209" t="s">
        <v>224</v>
      </c>
      <c r="D37" s="230" t="s">
        <v>33</v>
      </c>
      <c r="E37" s="197"/>
      <c r="F37" s="231" t="s">
        <v>225</v>
      </c>
    </row>
    <row r="38" spans="1:6" ht="55.05" customHeight="1" x14ac:dyDescent="0.45">
      <c r="A38" s="224">
        <v>3</v>
      </c>
      <c r="B38" s="225" t="s">
        <v>35</v>
      </c>
      <c r="C38" s="226" t="s">
        <v>226</v>
      </c>
      <c r="D38" s="227" t="s">
        <v>36</v>
      </c>
      <c r="E38" s="197"/>
      <c r="F38" s="228" t="s">
        <v>227</v>
      </c>
    </row>
    <row r="39" spans="1:6" ht="55.05" customHeight="1" x14ac:dyDescent="0.45">
      <c r="A39" s="229">
        <v>4</v>
      </c>
      <c r="B39" s="219" t="s">
        <v>38</v>
      </c>
      <c r="C39" s="209" t="s">
        <v>228</v>
      </c>
      <c r="D39" s="230" t="s">
        <v>39</v>
      </c>
      <c r="E39" s="197"/>
      <c r="F39" s="231" t="s">
        <v>229</v>
      </c>
    </row>
    <row r="40" spans="1:6" ht="10.050000000000001" customHeight="1" x14ac:dyDescent="0.45">
      <c r="A40" s="197"/>
      <c r="B40" s="197"/>
      <c r="C40" s="198"/>
      <c r="D40" s="198"/>
      <c r="E40" s="197"/>
      <c r="F40" s="198"/>
    </row>
    <row r="41" spans="1:6" ht="28.05" customHeight="1" x14ac:dyDescent="0.45">
      <c r="A41" s="232" t="s">
        <v>230</v>
      </c>
      <c r="B41" s="197"/>
      <c r="C41" s="198"/>
      <c r="D41" s="198"/>
      <c r="E41" s="197"/>
      <c r="F41" s="198"/>
    </row>
    <row r="42" spans="1:6" ht="65.099999999999994" customHeight="1" x14ac:dyDescent="0.45">
      <c r="A42" s="197"/>
      <c r="B42" s="233" t="s">
        <v>231</v>
      </c>
      <c r="C42" s="234" t="s">
        <v>523</v>
      </c>
      <c r="D42" s="198"/>
      <c r="E42" s="197"/>
      <c r="F42" s="198"/>
    </row>
    <row r="43" spans="1:6" ht="10.050000000000001" customHeight="1" x14ac:dyDescent="0.45">
      <c r="A43" s="197"/>
      <c r="B43" s="197"/>
      <c r="C43" s="198"/>
      <c r="D43" s="198"/>
      <c r="E43" s="197"/>
      <c r="F43" s="198"/>
    </row>
    <row r="44" spans="1:6" x14ac:dyDescent="0.45">
      <c r="A44" s="197"/>
      <c r="B44" s="374" t="s">
        <v>758</v>
      </c>
      <c r="C44" s="257" t="s">
        <v>232</v>
      </c>
      <c r="D44" s="198"/>
      <c r="E44" s="197"/>
      <c r="F44" s="198"/>
    </row>
    <row r="45" spans="1:6" ht="55.05" customHeight="1" x14ac:dyDescent="0.45">
      <c r="A45" s="235"/>
      <c r="B45" s="375" t="s">
        <v>759</v>
      </c>
      <c r="C45" s="376" t="s">
        <v>760</v>
      </c>
      <c r="D45" s="198"/>
      <c r="E45" s="197"/>
      <c r="F45" s="198"/>
    </row>
    <row r="46" spans="1:6" ht="55.05" customHeight="1" x14ac:dyDescent="0.45">
      <c r="A46" s="238"/>
      <c r="B46" s="239" t="s">
        <v>761</v>
      </c>
      <c r="C46" s="240" t="s">
        <v>762</v>
      </c>
      <c r="D46" s="198"/>
      <c r="E46" s="197"/>
      <c r="F46" s="198"/>
    </row>
    <row r="47" spans="1:6" ht="55.05" customHeight="1" x14ac:dyDescent="0.45">
      <c r="A47" s="241"/>
      <c r="B47" s="242" t="s">
        <v>763</v>
      </c>
      <c r="C47" s="377" t="s">
        <v>764</v>
      </c>
      <c r="D47" s="198"/>
      <c r="E47" s="197"/>
      <c r="F47" s="198"/>
    </row>
    <row r="48" spans="1:6" ht="55.05" customHeight="1" x14ac:dyDescent="0.45">
      <c r="A48" s="244"/>
      <c r="B48" s="248" t="s">
        <v>765</v>
      </c>
      <c r="C48" s="378" t="s">
        <v>766</v>
      </c>
      <c r="D48" s="198"/>
      <c r="E48" s="197"/>
      <c r="F48" s="198"/>
    </row>
    <row r="49" spans="1:6" ht="55.05" customHeight="1" x14ac:dyDescent="0.45">
      <c r="A49" s="245"/>
      <c r="B49" s="246" t="s">
        <v>767</v>
      </c>
      <c r="C49" s="379" t="s">
        <v>768</v>
      </c>
      <c r="D49" s="198"/>
      <c r="E49" s="197"/>
      <c r="F49" s="198"/>
    </row>
    <row r="50" spans="1:6" x14ac:dyDescent="0.45">
      <c r="A50" s="197"/>
      <c r="B50" s="197"/>
      <c r="C50" s="198"/>
      <c r="D50" s="198"/>
      <c r="E50" s="197"/>
      <c r="F50" s="198"/>
    </row>
    <row r="51" spans="1:6" ht="55.05" customHeight="1" x14ac:dyDescent="0.45">
      <c r="A51" s="197"/>
      <c r="B51" s="225" t="s">
        <v>233</v>
      </c>
      <c r="C51" s="247" t="s">
        <v>901</v>
      </c>
      <c r="D51" s="198"/>
      <c r="E51" s="197"/>
      <c r="F51" s="198"/>
    </row>
    <row r="52" spans="1:6" ht="10.050000000000001" customHeight="1" x14ac:dyDescent="0.45">
      <c r="A52" s="197"/>
      <c r="B52" s="197"/>
      <c r="C52" s="198"/>
      <c r="D52" s="198"/>
      <c r="E52" s="197"/>
      <c r="F52" s="198"/>
    </row>
    <row r="53" spans="1:6" ht="28.05" customHeight="1" x14ac:dyDescent="0.45">
      <c r="A53" s="196" t="s">
        <v>234</v>
      </c>
      <c r="B53" s="197"/>
      <c r="C53" s="198"/>
      <c r="D53" s="198"/>
      <c r="E53" s="197"/>
      <c r="F53" s="198"/>
    </row>
    <row r="54" spans="1:6" ht="65.099999999999994" customHeight="1" x14ac:dyDescent="0.45">
      <c r="A54" s="197"/>
      <c r="B54" s="208" t="s">
        <v>217</v>
      </c>
      <c r="C54" s="209" t="s">
        <v>235</v>
      </c>
      <c r="D54" s="198"/>
      <c r="E54" s="197"/>
      <c r="F54" s="198"/>
    </row>
    <row r="55" spans="1:6" ht="10.050000000000001" customHeight="1" x14ac:dyDescent="0.45">
      <c r="A55" s="197"/>
      <c r="B55" s="197"/>
      <c r="C55" s="198"/>
      <c r="D55" s="198"/>
      <c r="E55" s="197"/>
      <c r="F55" s="198"/>
    </row>
    <row r="56" spans="1:6" ht="55.05" customHeight="1" x14ac:dyDescent="0.45">
      <c r="A56" s="235"/>
      <c r="B56" s="236" t="s">
        <v>236</v>
      </c>
      <c r="C56" s="237" t="s">
        <v>237</v>
      </c>
      <c r="D56" s="198"/>
      <c r="E56" s="197"/>
      <c r="F56" s="198"/>
    </row>
    <row r="57" spans="1:6" ht="55.05" customHeight="1" x14ac:dyDescent="0.45">
      <c r="A57" s="241"/>
      <c r="B57" s="242" t="s">
        <v>238</v>
      </c>
      <c r="C57" s="243" t="s">
        <v>239</v>
      </c>
      <c r="D57" s="198"/>
      <c r="E57" s="197"/>
      <c r="F57" s="198"/>
    </row>
    <row r="58" spans="1:6" ht="55.05" customHeight="1" x14ac:dyDescent="0.45">
      <c r="A58" s="244"/>
      <c r="B58" s="248" t="s">
        <v>240</v>
      </c>
      <c r="C58" s="249" t="s">
        <v>241</v>
      </c>
      <c r="D58" s="198"/>
      <c r="E58" s="197"/>
      <c r="F58" s="198"/>
    </row>
    <row r="59" spans="1:6" ht="10.050000000000001" customHeight="1" x14ac:dyDescent="0.45">
      <c r="A59" s="197"/>
      <c r="B59" s="197"/>
      <c r="C59" s="198"/>
      <c r="D59" s="198"/>
      <c r="E59" s="197"/>
      <c r="F59" s="198"/>
    </row>
    <row r="60" spans="1:6" ht="55.05" customHeight="1" x14ac:dyDescent="0.45">
      <c r="A60" s="250"/>
      <c r="B60" s="251" t="s">
        <v>242</v>
      </c>
      <c r="C60" s="204" t="s">
        <v>243</v>
      </c>
      <c r="D60" s="198"/>
      <c r="E60" s="197"/>
      <c r="F60" s="198"/>
    </row>
    <row r="61" spans="1:6" ht="55.05" customHeight="1" x14ac:dyDescent="0.45">
      <c r="A61" s="252"/>
      <c r="B61" s="253" t="s">
        <v>244</v>
      </c>
      <c r="C61" s="209" t="s">
        <v>245</v>
      </c>
      <c r="D61" s="198"/>
      <c r="E61" s="197"/>
      <c r="F61" s="198"/>
    </row>
    <row r="62" spans="1:6" ht="10.050000000000001" customHeight="1" x14ac:dyDescent="0.45">
      <c r="A62" s="197"/>
      <c r="B62" s="197"/>
      <c r="C62" s="198"/>
      <c r="D62" s="198"/>
      <c r="E62" s="197"/>
      <c r="F62" s="198"/>
    </row>
    <row r="63" spans="1:6" ht="28.05" customHeight="1" x14ac:dyDescent="0.45">
      <c r="A63" s="196" t="s">
        <v>119</v>
      </c>
      <c r="B63" s="197"/>
      <c r="C63" s="198"/>
      <c r="D63" s="198"/>
      <c r="E63" s="197"/>
      <c r="F63" s="198"/>
    </row>
    <row r="64" spans="1:6" ht="55.05" customHeight="1" x14ac:dyDescent="0.45">
      <c r="A64" s="197"/>
      <c r="B64" s="208" t="s">
        <v>217</v>
      </c>
      <c r="C64" s="209" t="s">
        <v>246</v>
      </c>
      <c r="D64" s="198"/>
      <c r="E64" s="197"/>
      <c r="F64" s="198"/>
    </row>
    <row r="65" spans="1:6" ht="10.050000000000001" customHeight="1" x14ac:dyDescent="0.45">
      <c r="A65" s="197"/>
      <c r="B65" s="197"/>
      <c r="C65" s="198"/>
      <c r="D65" s="198"/>
      <c r="E65" s="197"/>
      <c r="F65" s="198"/>
    </row>
    <row r="66" spans="1:6" ht="55.05" customHeight="1" x14ac:dyDescent="0.45">
      <c r="A66" s="235"/>
      <c r="B66" s="236" t="s">
        <v>247</v>
      </c>
      <c r="C66" s="237" t="s">
        <v>248</v>
      </c>
      <c r="D66" s="198"/>
      <c r="E66" s="197"/>
      <c r="F66" s="198"/>
    </row>
    <row r="67" spans="1:6" ht="55.05" customHeight="1" x14ac:dyDescent="0.45">
      <c r="A67" s="241"/>
      <c r="B67" s="242" t="s">
        <v>249</v>
      </c>
      <c r="C67" s="243" t="s">
        <v>250</v>
      </c>
      <c r="D67" s="198"/>
      <c r="E67" s="197"/>
      <c r="F67" s="198"/>
    </row>
    <row r="68" spans="1:6" ht="55.05" customHeight="1" x14ac:dyDescent="0.45">
      <c r="A68" s="244"/>
      <c r="B68" s="248" t="s">
        <v>251</v>
      </c>
      <c r="C68" s="249" t="s">
        <v>252</v>
      </c>
      <c r="D68" s="198"/>
      <c r="E68" s="197"/>
      <c r="F68" s="198"/>
    </row>
    <row r="69" spans="1:6" x14ac:dyDescent="0.45">
      <c r="A69" s="197"/>
      <c r="B69" s="197"/>
      <c r="C69" s="198"/>
      <c r="D69" s="198"/>
      <c r="E69" s="197"/>
      <c r="F69" s="198"/>
    </row>
    <row r="70" spans="1:6" ht="15.75" x14ac:dyDescent="0.45">
      <c r="A70" s="384" t="s">
        <v>805</v>
      </c>
      <c r="B70" s="197"/>
      <c r="C70" s="198"/>
      <c r="D70" s="198"/>
      <c r="E70" s="197"/>
      <c r="F70" s="198"/>
    </row>
    <row r="71" spans="1:6" x14ac:dyDescent="0.45">
      <c r="A71" s="197"/>
      <c r="B71" s="197"/>
      <c r="C71" s="198"/>
      <c r="D71" s="198"/>
      <c r="E71" s="197"/>
      <c r="F71" s="198"/>
    </row>
    <row r="72" spans="1:6" x14ac:dyDescent="0.45">
      <c r="A72" s="385" t="s">
        <v>806</v>
      </c>
      <c r="B72" s="385" t="s">
        <v>899</v>
      </c>
      <c r="C72" s="198"/>
      <c r="D72" s="198"/>
      <c r="E72" s="197"/>
      <c r="F72" s="198"/>
    </row>
    <row r="73" spans="1:6" x14ac:dyDescent="0.45">
      <c r="B73" s="386" t="s">
        <v>807</v>
      </c>
    </row>
    <row r="74" spans="1:6" x14ac:dyDescent="0.45">
      <c r="B74" s="394" t="s">
        <v>900</v>
      </c>
    </row>
    <row r="75" spans="1:6" x14ac:dyDescent="0.45">
      <c r="B75" s="387" t="s">
        <v>808</v>
      </c>
    </row>
    <row r="76" spans="1:6" x14ac:dyDescent="0.45">
      <c r="A76" s="388" t="s">
        <v>809</v>
      </c>
      <c r="B76" s="388" t="s">
        <v>810</v>
      </c>
    </row>
    <row r="77" spans="1:6" x14ac:dyDescent="0.45">
      <c r="B77" s="390" t="s">
        <v>811</v>
      </c>
      <c r="C77" s="392" t="s">
        <v>812</v>
      </c>
    </row>
    <row r="78" spans="1:6" x14ac:dyDescent="0.45">
      <c r="B78" s="393" t="s">
        <v>813</v>
      </c>
      <c r="C78" s="392" t="s">
        <v>814</v>
      </c>
    </row>
    <row r="79" spans="1:6" x14ac:dyDescent="0.45">
      <c r="B79" s="395" t="s">
        <v>815</v>
      </c>
      <c r="C79" s="392" t="s">
        <v>816</v>
      </c>
    </row>
    <row r="80" spans="1:6" x14ac:dyDescent="0.45">
      <c r="B80" s="396" t="s">
        <v>817</v>
      </c>
      <c r="C80" s="392" t="s">
        <v>818</v>
      </c>
    </row>
    <row r="81" spans="1:3" x14ac:dyDescent="0.45">
      <c r="B81" s="397" t="s">
        <v>819</v>
      </c>
      <c r="C81" s="392" t="s">
        <v>820</v>
      </c>
    </row>
    <row r="83" spans="1:3" x14ac:dyDescent="0.45">
      <c r="A83" s="388" t="s">
        <v>821</v>
      </c>
      <c r="B83" s="388" t="s">
        <v>822</v>
      </c>
    </row>
    <row r="84" spans="1:3" x14ac:dyDescent="0.45">
      <c r="B84" s="389" t="s">
        <v>823</v>
      </c>
    </row>
    <row r="85" spans="1:3" x14ac:dyDescent="0.45">
      <c r="B85" s="387" t="s">
        <v>824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E75C4-3E8D-4B3A-BDF4-9A663F3A1C92}">
  <dimension ref="A1:F55"/>
  <sheetViews>
    <sheetView topLeftCell="B1" workbookViewId="0">
      <pane ySplit="4" topLeftCell="A5" activePane="bottomLeft" state="frozen"/>
      <selection pane="bottomLeft" activeCell="C7" sqref="C7"/>
    </sheetView>
  </sheetViews>
  <sheetFormatPr baseColWidth="10" defaultRowHeight="14.25" x14ac:dyDescent="0.45"/>
  <cols>
    <col min="1" max="1" width="5.3984375" customWidth="1"/>
    <col min="2" max="2" width="37.6640625" customWidth="1"/>
    <col min="3" max="3" width="35.9296875" customWidth="1"/>
    <col min="4" max="4" width="53.86328125" customWidth="1"/>
    <col min="5" max="5" width="17.9296875" customWidth="1"/>
    <col min="6" max="6" width="39.46484375" customWidth="1"/>
  </cols>
  <sheetData>
    <row r="1" spans="1:6" ht="20.65" x14ac:dyDescent="0.6">
      <c r="A1" s="465" t="s">
        <v>253</v>
      </c>
      <c r="B1" s="466"/>
      <c r="C1" s="466"/>
      <c r="D1" s="466"/>
      <c r="E1" s="466"/>
      <c r="F1" s="466"/>
    </row>
    <row r="2" spans="1:6" x14ac:dyDescent="0.45">
      <c r="A2" s="447" t="s">
        <v>254</v>
      </c>
      <c r="B2" s="467"/>
      <c r="C2" s="467"/>
      <c r="D2" s="467"/>
      <c r="E2" s="467"/>
      <c r="F2" s="467"/>
    </row>
    <row r="3" spans="1:6" x14ac:dyDescent="0.45">
      <c r="A3" s="468" t="s">
        <v>255</v>
      </c>
      <c r="B3" s="469"/>
      <c r="C3" s="469"/>
      <c r="D3" s="469"/>
      <c r="E3" s="469"/>
      <c r="F3" s="469"/>
    </row>
    <row r="5" spans="1:6" ht="15.4" x14ac:dyDescent="0.45">
      <c r="A5" s="461" t="s">
        <v>256</v>
      </c>
      <c r="B5" s="462"/>
      <c r="C5" s="462"/>
      <c r="D5" s="462"/>
      <c r="E5" s="462"/>
      <c r="F5" s="462"/>
    </row>
    <row r="6" spans="1:6" x14ac:dyDescent="0.45">
      <c r="A6" s="3" t="s">
        <v>2</v>
      </c>
      <c r="B6" s="3" t="s">
        <v>41</v>
      </c>
      <c r="C6" s="3" t="s">
        <v>257</v>
      </c>
      <c r="D6" s="3" t="s">
        <v>258</v>
      </c>
      <c r="E6" s="3" t="s">
        <v>259</v>
      </c>
      <c r="F6" s="3" t="s">
        <v>260</v>
      </c>
    </row>
    <row r="7" spans="1:6" ht="25.5" x14ac:dyDescent="0.45">
      <c r="A7" s="258">
        <v>1</v>
      </c>
      <c r="B7" s="256" t="s">
        <v>13</v>
      </c>
      <c r="C7" s="254" t="s">
        <v>261</v>
      </c>
      <c r="D7" s="254" t="s">
        <v>262</v>
      </c>
      <c r="E7" s="254" t="s">
        <v>263</v>
      </c>
      <c r="F7" s="254" t="s">
        <v>264</v>
      </c>
    </row>
    <row r="8" spans="1:6" x14ac:dyDescent="0.45">
      <c r="A8" s="259">
        <v>2</v>
      </c>
      <c r="B8" s="257" t="s">
        <v>15</v>
      </c>
      <c r="C8" s="255" t="s">
        <v>265</v>
      </c>
      <c r="D8" s="255" t="s">
        <v>266</v>
      </c>
      <c r="E8" s="255" t="s">
        <v>263</v>
      </c>
      <c r="F8" s="255" t="s">
        <v>267</v>
      </c>
    </row>
    <row r="9" spans="1:6" x14ac:dyDescent="0.45">
      <c r="A9" s="258">
        <v>3</v>
      </c>
      <c r="B9" s="256" t="s">
        <v>172</v>
      </c>
      <c r="C9" s="254" t="s">
        <v>268</v>
      </c>
      <c r="D9" s="254" t="s">
        <v>269</v>
      </c>
      <c r="E9" s="254" t="s">
        <v>270</v>
      </c>
      <c r="F9" s="254" t="s">
        <v>271</v>
      </c>
    </row>
    <row r="10" spans="1:6" ht="25.5" x14ac:dyDescent="0.45">
      <c r="A10" s="259">
        <v>4</v>
      </c>
      <c r="B10" s="257" t="s">
        <v>17</v>
      </c>
      <c r="C10" s="255" t="s">
        <v>272</v>
      </c>
      <c r="D10" s="255" t="s">
        <v>273</v>
      </c>
      <c r="E10" s="255" t="s">
        <v>274</v>
      </c>
      <c r="F10" s="255" t="s">
        <v>275</v>
      </c>
    </row>
    <row r="12" spans="1:6" ht="28.5" x14ac:dyDescent="0.45">
      <c r="A12">
        <v>5</v>
      </c>
      <c r="B12" t="s">
        <v>567</v>
      </c>
      <c r="C12" t="s">
        <v>577</v>
      </c>
      <c r="D12" s="195" t="s">
        <v>578</v>
      </c>
      <c r="E12" t="s">
        <v>270</v>
      </c>
      <c r="F12" t="s">
        <v>579</v>
      </c>
    </row>
    <row r="13" spans="1:6" ht="15.4" x14ac:dyDescent="0.45">
      <c r="A13" s="461" t="s">
        <v>276</v>
      </c>
      <c r="B13" s="462"/>
      <c r="C13" s="462"/>
      <c r="D13" s="462"/>
      <c r="E13" s="462"/>
      <c r="F13" s="462"/>
    </row>
    <row r="14" spans="1:6" x14ac:dyDescent="0.45">
      <c r="A14" s="260" t="s">
        <v>2</v>
      </c>
      <c r="B14" s="260" t="s">
        <v>41</v>
      </c>
      <c r="C14" s="260" t="s">
        <v>257</v>
      </c>
      <c r="D14" s="260" t="s">
        <v>258</v>
      </c>
      <c r="E14" s="260" t="s">
        <v>259</v>
      </c>
      <c r="F14" s="260" t="s">
        <v>260</v>
      </c>
    </row>
    <row r="15" spans="1:6" ht="25.5" x14ac:dyDescent="0.45">
      <c r="A15" s="258">
        <v>1</v>
      </c>
      <c r="B15" s="256" t="s">
        <v>277</v>
      </c>
      <c r="C15" s="254" t="s">
        <v>278</v>
      </c>
      <c r="D15" s="254" t="s">
        <v>279</v>
      </c>
      <c r="E15" s="254" t="s">
        <v>263</v>
      </c>
      <c r="F15" s="254" t="s">
        <v>280</v>
      </c>
    </row>
    <row r="16" spans="1:6" x14ac:dyDescent="0.45">
      <c r="A16" s="259">
        <v>2</v>
      </c>
      <c r="B16" s="257" t="s">
        <v>281</v>
      </c>
      <c r="C16" s="255" t="s">
        <v>282</v>
      </c>
      <c r="D16" s="255" t="s">
        <v>283</v>
      </c>
      <c r="E16" s="255" t="s">
        <v>270</v>
      </c>
      <c r="F16" s="255" t="s">
        <v>284</v>
      </c>
    </row>
    <row r="17" spans="1:6" x14ac:dyDescent="0.45">
      <c r="A17" s="258">
        <v>3</v>
      </c>
      <c r="B17" s="256" t="s">
        <v>185</v>
      </c>
      <c r="C17" s="254" t="s">
        <v>285</v>
      </c>
      <c r="D17" s="254" t="s">
        <v>286</v>
      </c>
      <c r="E17" s="254" t="s">
        <v>287</v>
      </c>
      <c r="F17" s="254" t="s">
        <v>288</v>
      </c>
    </row>
    <row r="18" spans="1:6" x14ac:dyDescent="0.45">
      <c r="A18" s="259">
        <v>4</v>
      </c>
      <c r="B18" s="257" t="s">
        <v>62</v>
      </c>
      <c r="C18" s="255" t="s">
        <v>289</v>
      </c>
      <c r="D18" s="255" t="s">
        <v>283</v>
      </c>
      <c r="E18" s="255" t="s">
        <v>270</v>
      </c>
      <c r="F18" s="255" t="s">
        <v>290</v>
      </c>
    </row>
    <row r="19" spans="1:6" x14ac:dyDescent="0.45">
      <c r="A19" s="258">
        <v>5</v>
      </c>
      <c r="B19" s="256" t="s">
        <v>63</v>
      </c>
      <c r="C19" s="254" t="s">
        <v>289</v>
      </c>
      <c r="D19" s="254" t="s">
        <v>283</v>
      </c>
      <c r="E19" s="254" t="s">
        <v>270</v>
      </c>
      <c r="F19" s="254" t="s">
        <v>291</v>
      </c>
    </row>
    <row r="20" spans="1:6" ht="25.5" x14ac:dyDescent="0.45">
      <c r="A20" s="259">
        <v>6</v>
      </c>
      <c r="B20" s="257" t="s">
        <v>64</v>
      </c>
      <c r="C20" s="255" t="s">
        <v>292</v>
      </c>
      <c r="D20" s="255" t="s">
        <v>293</v>
      </c>
      <c r="E20" s="255" t="s">
        <v>294</v>
      </c>
      <c r="F20" s="255" t="s">
        <v>295</v>
      </c>
    </row>
    <row r="22" spans="1:6" ht="15.4" x14ac:dyDescent="0.45">
      <c r="A22" s="461" t="s">
        <v>115</v>
      </c>
      <c r="B22" s="462"/>
      <c r="C22" s="462"/>
      <c r="D22" s="462"/>
      <c r="E22" s="462"/>
      <c r="F22" s="462"/>
    </row>
    <row r="23" spans="1:6" x14ac:dyDescent="0.45">
      <c r="A23" s="261" t="s">
        <v>2</v>
      </c>
      <c r="B23" s="261" t="s">
        <v>41</v>
      </c>
      <c r="C23" s="261" t="s">
        <v>257</v>
      </c>
      <c r="D23" s="261" t="s">
        <v>258</v>
      </c>
      <c r="E23" s="261" t="s">
        <v>259</v>
      </c>
      <c r="F23" s="261" t="s">
        <v>260</v>
      </c>
    </row>
    <row r="24" spans="1:6" ht="25.5" x14ac:dyDescent="0.45">
      <c r="A24" s="258">
        <v>1</v>
      </c>
      <c r="B24" s="256" t="s">
        <v>86</v>
      </c>
      <c r="C24" s="254" t="s">
        <v>296</v>
      </c>
      <c r="D24" s="254" t="s">
        <v>297</v>
      </c>
      <c r="E24" s="254" t="s">
        <v>298</v>
      </c>
      <c r="F24" s="254" t="s">
        <v>299</v>
      </c>
    </row>
    <row r="25" spans="1:6" ht="25.5" x14ac:dyDescent="0.45">
      <c r="A25" s="259">
        <v>2</v>
      </c>
      <c r="B25" s="257" t="s">
        <v>90</v>
      </c>
      <c r="C25" s="255" t="s">
        <v>300</v>
      </c>
      <c r="D25" s="255" t="s">
        <v>301</v>
      </c>
      <c r="E25" s="255" t="s">
        <v>302</v>
      </c>
      <c r="F25" s="255" t="s">
        <v>303</v>
      </c>
    </row>
    <row r="26" spans="1:6" ht="25.5" x14ac:dyDescent="0.45">
      <c r="A26" s="258">
        <v>3</v>
      </c>
      <c r="B26" s="256" t="s">
        <v>94</v>
      </c>
      <c r="C26" s="254" t="s">
        <v>304</v>
      </c>
      <c r="D26" s="254" t="s">
        <v>305</v>
      </c>
      <c r="E26" s="254" t="s">
        <v>294</v>
      </c>
      <c r="F26" s="254" t="s">
        <v>306</v>
      </c>
    </row>
    <row r="27" spans="1:6" ht="25.5" x14ac:dyDescent="0.45">
      <c r="A27" s="259">
        <v>4</v>
      </c>
      <c r="B27" s="257" t="s">
        <v>98</v>
      </c>
      <c r="C27" s="255" t="s">
        <v>307</v>
      </c>
      <c r="D27" s="255" t="s">
        <v>308</v>
      </c>
      <c r="E27" s="255" t="s">
        <v>309</v>
      </c>
      <c r="F27" s="255" t="s">
        <v>310</v>
      </c>
    </row>
    <row r="28" spans="1:6" x14ac:dyDescent="0.45">
      <c r="A28" s="258">
        <v>5</v>
      </c>
      <c r="B28" s="256" t="s">
        <v>101</v>
      </c>
      <c r="C28" s="254" t="s">
        <v>311</v>
      </c>
      <c r="D28" s="254" t="s">
        <v>312</v>
      </c>
      <c r="E28" s="254" t="s">
        <v>270</v>
      </c>
      <c r="F28" s="254" t="s">
        <v>313</v>
      </c>
    </row>
    <row r="29" spans="1:6" ht="25.5" x14ac:dyDescent="0.45">
      <c r="A29" s="259">
        <v>6</v>
      </c>
      <c r="B29" s="257" t="s">
        <v>105</v>
      </c>
      <c r="C29" s="255" t="s">
        <v>314</v>
      </c>
      <c r="D29" s="255" t="s">
        <v>315</v>
      </c>
      <c r="E29" s="255" t="s">
        <v>294</v>
      </c>
      <c r="F29" s="255" t="s">
        <v>316</v>
      </c>
    </row>
    <row r="30" spans="1:6" ht="25.5" x14ac:dyDescent="0.45">
      <c r="A30" s="258">
        <v>7</v>
      </c>
      <c r="B30" s="256" t="s">
        <v>437</v>
      </c>
      <c r="C30" s="254" t="s">
        <v>465</v>
      </c>
      <c r="D30" s="254" t="s">
        <v>466</v>
      </c>
      <c r="E30" s="254" t="s">
        <v>270</v>
      </c>
      <c r="F30" s="254" t="s">
        <v>467</v>
      </c>
    </row>
    <row r="31" spans="1:6" ht="25.5" x14ac:dyDescent="0.45">
      <c r="A31" s="259">
        <v>8</v>
      </c>
      <c r="B31" s="257" t="s">
        <v>441</v>
      </c>
      <c r="C31" s="255" t="s">
        <v>468</v>
      </c>
      <c r="D31" s="255" t="s">
        <v>469</v>
      </c>
      <c r="E31" s="255" t="s">
        <v>270</v>
      </c>
      <c r="F31" s="255" t="s">
        <v>470</v>
      </c>
    </row>
    <row r="32" spans="1:6" ht="25.5" x14ac:dyDescent="0.45">
      <c r="A32" s="258">
        <v>9</v>
      </c>
      <c r="B32" s="256" t="s">
        <v>445</v>
      </c>
      <c r="C32" s="254" t="s">
        <v>471</v>
      </c>
      <c r="D32" s="254" t="s">
        <v>472</v>
      </c>
      <c r="E32" s="254" t="s">
        <v>263</v>
      </c>
      <c r="F32" s="254" t="s">
        <v>264</v>
      </c>
    </row>
    <row r="33" spans="1:6" ht="25.5" x14ac:dyDescent="0.45">
      <c r="A33" s="259">
        <v>10</v>
      </c>
      <c r="B33" s="257" t="s">
        <v>449</v>
      </c>
      <c r="C33" s="255" t="s">
        <v>314</v>
      </c>
      <c r="D33" s="255" t="s">
        <v>473</v>
      </c>
      <c r="E33" s="255" t="s">
        <v>294</v>
      </c>
      <c r="F33" s="255" t="s">
        <v>474</v>
      </c>
    </row>
    <row r="35" spans="1:6" ht="28.5" x14ac:dyDescent="0.45">
      <c r="A35">
        <v>11</v>
      </c>
      <c r="B35" t="s">
        <v>571</v>
      </c>
      <c r="C35" t="s">
        <v>580</v>
      </c>
      <c r="D35" s="195" t="s">
        <v>581</v>
      </c>
      <c r="E35" t="s">
        <v>263</v>
      </c>
      <c r="F35" t="s">
        <v>582</v>
      </c>
    </row>
    <row r="36" spans="1:6" ht="15.4" x14ac:dyDescent="0.45">
      <c r="A36" s="461" t="s">
        <v>317</v>
      </c>
      <c r="B36" s="462"/>
      <c r="C36" s="462"/>
      <c r="D36" s="462"/>
      <c r="E36" s="462"/>
      <c r="F36" s="462"/>
    </row>
    <row r="37" spans="1:6" x14ac:dyDescent="0.45">
      <c r="A37" s="262" t="s">
        <v>2</v>
      </c>
      <c r="B37" s="262" t="s">
        <v>41</v>
      </c>
      <c r="C37" s="262" t="s">
        <v>318</v>
      </c>
      <c r="D37" s="262" t="s">
        <v>258</v>
      </c>
      <c r="E37" s="262" t="s">
        <v>319</v>
      </c>
      <c r="F37" s="262" t="s">
        <v>149</v>
      </c>
    </row>
    <row r="38" spans="1:6" ht="25.5" x14ac:dyDescent="0.45">
      <c r="A38" s="267">
        <v>1</v>
      </c>
      <c r="B38" s="265" t="s">
        <v>42</v>
      </c>
      <c r="C38" s="263" t="s">
        <v>320</v>
      </c>
      <c r="D38" s="263" t="s">
        <v>321</v>
      </c>
      <c r="E38" s="263" t="s">
        <v>322</v>
      </c>
      <c r="F38" s="263" t="s">
        <v>323</v>
      </c>
    </row>
    <row r="39" spans="1:6" ht="25.5" x14ac:dyDescent="0.45">
      <c r="A39" s="268">
        <v>2</v>
      </c>
      <c r="B39" s="266" t="s">
        <v>43</v>
      </c>
      <c r="C39" s="264" t="s">
        <v>324</v>
      </c>
      <c r="D39" s="264" t="s">
        <v>325</v>
      </c>
      <c r="E39" s="264" t="s">
        <v>326</v>
      </c>
      <c r="F39" s="264" t="s">
        <v>327</v>
      </c>
    </row>
    <row r="40" spans="1:6" ht="25.5" x14ac:dyDescent="0.45">
      <c r="A40" s="267">
        <v>3</v>
      </c>
      <c r="B40" s="265" t="s">
        <v>172</v>
      </c>
      <c r="C40" s="263" t="s">
        <v>328</v>
      </c>
      <c r="D40" s="263" t="s">
        <v>329</v>
      </c>
      <c r="E40" s="263" t="s">
        <v>330</v>
      </c>
      <c r="F40" s="263" t="s">
        <v>331</v>
      </c>
    </row>
    <row r="41" spans="1:6" ht="25.5" x14ac:dyDescent="0.45">
      <c r="A41" s="268">
        <v>4</v>
      </c>
      <c r="B41" s="266" t="s">
        <v>332</v>
      </c>
      <c r="C41" s="264" t="s">
        <v>333</v>
      </c>
      <c r="D41" s="264" t="s">
        <v>334</v>
      </c>
      <c r="E41" s="264" t="s">
        <v>335</v>
      </c>
      <c r="F41" s="264" t="s">
        <v>336</v>
      </c>
    </row>
    <row r="42" spans="1:6" ht="25.5" x14ac:dyDescent="0.45">
      <c r="A42" s="267">
        <v>5</v>
      </c>
      <c r="B42" s="265" t="s">
        <v>337</v>
      </c>
      <c r="C42" s="263" t="s">
        <v>338</v>
      </c>
      <c r="D42" s="263" t="s">
        <v>339</v>
      </c>
      <c r="E42" s="263" t="s">
        <v>340</v>
      </c>
      <c r="F42" s="263" t="s">
        <v>341</v>
      </c>
    </row>
    <row r="43" spans="1:6" ht="25.5" x14ac:dyDescent="0.45">
      <c r="A43" s="268">
        <v>6</v>
      </c>
      <c r="B43" s="266" t="s">
        <v>342</v>
      </c>
      <c r="C43" s="264" t="s">
        <v>343</v>
      </c>
      <c r="D43" s="264" t="s">
        <v>344</v>
      </c>
      <c r="E43" s="264" t="s">
        <v>345</v>
      </c>
      <c r="F43" s="264" t="s">
        <v>346</v>
      </c>
    </row>
    <row r="45" spans="1:6" ht="15.4" x14ac:dyDescent="0.45">
      <c r="A45" s="463" t="s">
        <v>347</v>
      </c>
      <c r="B45" s="464"/>
      <c r="C45" s="464"/>
      <c r="D45" s="464"/>
      <c r="E45" s="464"/>
      <c r="F45" s="464"/>
    </row>
    <row r="46" spans="1:6" x14ac:dyDescent="0.45">
      <c r="A46" s="269" t="s">
        <v>348</v>
      </c>
      <c r="B46" s="270" t="s">
        <v>349</v>
      </c>
      <c r="C46" s="271" t="s">
        <v>524</v>
      </c>
      <c r="D46" s="271"/>
      <c r="E46" s="271"/>
      <c r="F46" s="271"/>
    </row>
    <row r="47" spans="1:6" x14ac:dyDescent="0.45">
      <c r="A47" s="272" t="s">
        <v>350</v>
      </c>
      <c r="B47" s="273" t="s">
        <v>351</v>
      </c>
      <c r="C47" s="274" t="s">
        <v>352</v>
      </c>
      <c r="D47" s="274"/>
      <c r="E47" s="274"/>
      <c r="F47" s="274"/>
    </row>
    <row r="48" spans="1:6" x14ac:dyDescent="0.45">
      <c r="A48" s="275" t="s">
        <v>353</v>
      </c>
      <c r="B48" s="276" t="s">
        <v>354</v>
      </c>
      <c r="C48" s="277" t="s">
        <v>355</v>
      </c>
      <c r="D48" s="277"/>
      <c r="E48" s="277"/>
      <c r="F48" s="277"/>
    </row>
    <row r="50" spans="1:6" ht="15.4" x14ac:dyDescent="0.45">
      <c r="A50" s="461" t="s">
        <v>356</v>
      </c>
      <c r="B50" s="462"/>
      <c r="C50" s="462"/>
      <c r="D50" s="462"/>
      <c r="E50" s="462"/>
      <c r="F50" s="462"/>
    </row>
    <row r="51" spans="1:6" ht="26.25" x14ac:dyDescent="0.45">
      <c r="A51" s="278" t="s">
        <v>357</v>
      </c>
      <c r="B51" s="256" t="s">
        <v>358</v>
      </c>
      <c r="C51" s="254" t="s">
        <v>479</v>
      </c>
      <c r="D51" s="254"/>
      <c r="E51" s="254"/>
      <c r="F51" s="254"/>
    </row>
    <row r="52" spans="1:6" ht="26.25" x14ac:dyDescent="0.45">
      <c r="A52" s="279" t="s">
        <v>359</v>
      </c>
      <c r="B52" s="257" t="s">
        <v>360</v>
      </c>
      <c r="C52" s="255" t="s">
        <v>480</v>
      </c>
      <c r="D52" s="255"/>
      <c r="E52" s="255"/>
      <c r="F52" s="255"/>
    </row>
    <row r="53" spans="1:6" ht="15" x14ac:dyDescent="0.45">
      <c r="A53" s="278" t="s">
        <v>361</v>
      </c>
      <c r="B53" s="256" t="s">
        <v>362</v>
      </c>
      <c r="C53" s="254" t="s">
        <v>481</v>
      </c>
      <c r="D53" s="254"/>
      <c r="E53" s="254"/>
      <c r="F53" s="254"/>
    </row>
    <row r="54" spans="1:6" ht="25.5" x14ac:dyDescent="0.45">
      <c r="A54" s="279" t="s">
        <v>363</v>
      </c>
      <c r="B54" s="257" t="s">
        <v>364</v>
      </c>
      <c r="C54" s="255" t="s">
        <v>365</v>
      </c>
      <c r="D54" s="255"/>
      <c r="E54" s="255"/>
      <c r="F54" s="255"/>
    </row>
    <row r="55" spans="1:6" ht="25.5" x14ac:dyDescent="0.45">
      <c r="A55" s="278" t="s">
        <v>366</v>
      </c>
      <c r="B55" s="256" t="s">
        <v>367</v>
      </c>
      <c r="C55" s="254" t="s">
        <v>368</v>
      </c>
      <c r="D55" s="254"/>
      <c r="E55" s="254"/>
      <c r="F55" s="254"/>
    </row>
  </sheetData>
  <mergeCells count="9">
    <mergeCell ref="A36:F36"/>
    <mergeCell ref="A45:F45"/>
    <mergeCell ref="A50:F50"/>
    <mergeCell ref="A1:F1"/>
    <mergeCell ref="A2:F2"/>
    <mergeCell ref="A3:F3"/>
    <mergeCell ref="A5:F5"/>
    <mergeCell ref="A13:F13"/>
    <mergeCell ref="A22:F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73117-98ED-4967-BD1B-15976F42542A}">
  <dimension ref="A1:N57"/>
  <sheetViews>
    <sheetView tabSelected="1" topLeftCell="B1" workbookViewId="0">
      <pane ySplit="5" topLeftCell="A6" activePane="bottomLeft" state="frozen"/>
      <selection pane="bottomLeft" activeCell="K27" sqref="K27"/>
    </sheetView>
  </sheetViews>
  <sheetFormatPr baseColWidth="10" defaultRowHeight="14.25" x14ac:dyDescent="0.45"/>
  <cols>
    <col min="1" max="1" width="27.19921875" customWidth="1"/>
    <col min="2" max="2" width="16.1328125" customWidth="1"/>
    <col min="3" max="3" width="31.3984375" customWidth="1"/>
    <col min="4" max="4" width="13.46484375" customWidth="1"/>
    <col min="5" max="5" width="38" bestFit="1" customWidth="1"/>
    <col min="6" max="8" width="13.46484375" customWidth="1"/>
    <col min="9" max="9" width="12.53125" customWidth="1"/>
    <col min="10" max="11" width="23.33203125" customWidth="1"/>
    <col min="12" max="12" width="9" customWidth="1"/>
    <col min="13" max="13" width="35.9296875" customWidth="1"/>
    <col min="14" max="14" width="13.46484375" customWidth="1"/>
  </cols>
  <sheetData>
    <row r="1" spans="1:14" ht="18" x14ac:dyDescent="0.55000000000000004">
      <c r="A1" s="280" t="s">
        <v>369</v>
      </c>
    </row>
    <row r="2" spans="1:14" x14ac:dyDescent="0.45">
      <c r="A2" s="281" t="s">
        <v>583</v>
      </c>
    </row>
    <row r="3" spans="1:14" x14ac:dyDescent="0.45">
      <c r="A3" s="283" t="s">
        <v>584</v>
      </c>
    </row>
    <row r="5" spans="1:14" x14ac:dyDescent="0.45">
      <c r="A5" s="284" t="s">
        <v>2</v>
      </c>
      <c r="B5" s="284" t="s">
        <v>134</v>
      </c>
      <c r="C5" s="284" t="s">
        <v>370</v>
      </c>
      <c r="D5" s="284" t="s">
        <v>137</v>
      </c>
      <c r="E5" s="284" t="s">
        <v>42</v>
      </c>
      <c r="F5" s="285" t="s">
        <v>371</v>
      </c>
      <c r="G5" s="285" t="s">
        <v>372</v>
      </c>
      <c r="H5" s="285" t="s">
        <v>373</v>
      </c>
      <c r="I5" s="284" t="s">
        <v>374</v>
      </c>
      <c r="J5" s="284" t="s">
        <v>375</v>
      </c>
      <c r="K5" s="284" t="s">
        <v>376</v>
      </c>
      <c r="L5" s="284" t="s">
        <v>377</v>
      </c>
      <c r="M5" s="284" t="s">
        <v>148</v>
      </c>
      <c r="N5" s="284" t="s">
        <v>378</v>
      </c>
    </row>
    <row r="6" spans="1:14" x14ac:dyDescent="0.45">
      <c r="A6">
        <v>1</v>
      </c>
      <c r="B6" s="326">
        <v>43847</v>
      </c>
      <c r="C6" t="s">
        <v>379</v>
      </c>
      <c r="D6" s="187">
        <v>3329.62</v>
      </c>
      <c r="E6" s="352">
        <v>12.1</v>
      </c>
      <c r="F6" s="286">
        <v>87.6</v>
      </c>
      <c r="G6" s="286">
        <v>93.3</v>
      </c>
      <c r="H6" s="189">
        <v>69.3</v>
      </c>
      <c r="I6" s="287">
        <v>84.1</v>
      </c>
      <c r="J6" t="s">
        <v>380</v>
      </c>
      <c r="K6" t="s">
        <v>381</v>
      </c>
      <c r="L6" t="s">
        <v>382</v>
      </c>
      <c r="M6" t="s">
        <v>383</v>
      </c>
      <c r="N6" s="330">
        <v>0.02</v>
      </c>
    </row>
    <row r="7" spans="1:14" x14ac:dyDescent="0.45">
      <c r="A7">
        <v>2</v>
      </c>
      <c r="B7" s="326">
        <v>43889</v>
      </c>
      <c r="C7" t="s">
        <v>384</v>
      </c>
      <c r="D7" s="187">
        <v>2954.22</v>
      </c>
      <c r="E7" s="289">
        <v>40.11</v>
      </c>
      <c r="F7" s="290">
        <v>22.6</v>
      </c>
      <c r="G7" s="290">
        <v>19.2</v>
      </c>
      <c r="H7" s="189">
        <v>69.5</v>
      </c>
      <c r="I7" s="291">
        <v>35.5</v>
      </c>
      <c r="J7" t="s">
        <v>399</v>
      </c>
      <c r="K7" t="s">
        <v>386</v>
      </c>
      <c r="L7" t="s">
        <v>382</v>
      </c>
      <c r="M7" t="s">
        <v>387</v>
      </c>
      <c r="N7" s="329">
        <v>-0.125</v>
      </c>
    </row>
    <row r="8" spans="1:14" x14ac:dyDescent="0.45">
      <c r="A8">
        <v>3</v>
      </c>
      <c r="B8" s="326">
        <v>43913</v>
      </c>
      <c r="C8" t="s">
        <v>388</v>
      </c>
      <c r="D8" s="187">
        <v>2237.4</v>
      </c>
      <c r="E8" s="289">
        <v>61.59</v>
      </c>
      <c r="F8" s="290">
        <v>2.6</v>
      </c>
      <c r="G8" s="290">
        <v>15</v>
      </c>
      <c r="H8" s="286">
        <v>76.099999999999994</v>
      </c>
      <c r="I8" s="291">
        <v>29</v>
      </c>
      <c r="J8" t="s">
        <v>385</v>
      </c>
      <c r="K8" t="s">
        <v>385</v>
      </c>
      <c r="L8" t="s">
        <v>382</v>
      </c>
      <c r="M8" t="s">
        <v>387</v>
      </c>
      <c r="N8" s="328">
        <v>0.128</v>
      </c>
    </row>
    <row r="9" spans="1:14" x14ac:dyDescent="0.45">
      <c r="A9">
        <v>4</v>
      </c>
      <c r="B9" s="326">
        <v>43990</v>
      </c>
      <c r="C9" t="s">
        <v>389</v>
      </c>
      <c r="D9" s="187">
        <v>3232.39</v>
      </c>
      <c r="E9" s="181">
        <v>24.52</v>
      </c>
      <c r="F9" s="325">
        <v>53.2</v>
      </c>
      <c r="G9" s="286">
        <v>88.5</v>
      </c>
      <c r="H9" s="286">
        <v>99.7</v>
      </c>
      <c r="I9" s="287">
        <v>79.5</v>
      </c>
      <c r="J9" t="s">
        <v>390</v>
      </c>
      <c r="K9" t="s">
        <v>390</v>
      </c>
      <c r="L9" t="s">
        <v>382</v>
      </c>
      <c r="M9" t="s">
        <v>391</v>
      </c>
      <c r="N9" s="330">
        <v>1.7999999999999999E-2</v>
      </c>
    </row>
    <row r="10" spans="1:14" x14ac:dyDescent="0.45">
      <c r="A10">
        <v>5</v>
      </c>
      <c r="B10" s="326">
        <v>44564</v>
      </c>
      <c r="C10" t="s">
        <v>392</v>
      </c>
      <c r="D10" s="187">
        <v>4796.5600000000004</v>
      </c>
      <c r="E10" s="352">
        <v>16.600000000000001</v>
      </c>
      <c r="F10" s="286">
        <v>84.3</v>
      </c>
      <c r="G10" s="286">
        <v>85</v>
      </c>
      <c r="H10" s="286">
        <v>81.5</v>
      </c>
      <c r="I10" s="287">
        <v>83.7</v>
      </c>
      <c r="J10" t="s">
        <v>380</v>
      </c>
      <c r="K10" t="s">
        <v>386</v>
      </c>
      <c r="L10" t="s">
        <v>393</v>
      </c>
      <c r="M10" t="s">
        <v>383</v>
      </c>
      <c r="N10" s="329">
        <v>-5.2999999999999999E-2</v>
      </c>
    </row>
    <row r="11" spans="1:14" x14ac:dyDescent="0.45">
      <c r="A11">
        <v>6</v>
      </c>
      <c r="B11" s="326">
        <v>44725</v>
      </c>
      <c r="C11" t="s">
        <v>394</v>
      </c>
      <c r="D11" s="187">
        <v>3749.63</v>
      </c>
      <c r="E11" s="289">
        <v>34.020000000000003</v>
      </c>
      <c r="F11" s="290">
        <v>18.899999999999999</v>
      </c>
      <c r="G11" s="290">
        <v>4.3</v>
      </c>
      <c r="H11" s="286">
        <v>69.599999999999994</v>
      </c>
      <c r="I11" s="291">
        <v>29</v>
      </c>
      <c r="J11" t="s">
        <v>385</v>
      </c>
      <c r="K11" t="s">
        <v>395</v>
      </c>
      <c r="L11" t="s">
        <v>382</v>
      </c>
      <c r="M11" t="s">
        <v>396</v>
      </c>
      <c r="N11" s="329">
        <v>-2.1999999999999999E-2</v>
      </c>
    </row>
    <row r="12" spans="1:14" x14ac:dyDescent="0.45">
      <c r="A12">
        <v>7</v>
      </c>
      <c r="B12" s="326">
        <v>44846</v>
      </c>
      <c r="C12" t="s">
        <v>397</v>
      </c>
      <c r="D12" s="187">
        <v>3577.03</v>
      </c>
      <c r="E12" s="289">
        <v>32.020000000000003</v>
      </c>
      <c r="F12" s="290">
        <v>17.5</v>
      </c>
      <c r="G12" s="290">
        <v>5</v>
      </c>
      <c r="H12" s="325">
        <v>57.9</v>
      </c>
      <c r="I12" s="291">
        <v>25.2</v>
      </c>
      <c r="J12" t="s">
        <v>385</v>
      </c>
      <c r="K12" t="s">
        <v>385</v>
      </c>
      <c r="L12" t="s">
        <v>382</v>
      </c>
      <c r="M12" t="s">
        <v>387</v>
      </c>
      <c r="N12" s="328">
        <v>0.08</v>
      </c>
    </row>
    <row r="13" spans="1:14" x14ac:dyDescent="0.45">
      <c r="A13">
        <v>8</v>
      </c>
      <c r="B13" s="326">
        <v>44928</v>
      </c>
      <c r="C13" t="s">
        <v>398</v>
      </c>
      <c r="D13" s="187">
        <v>3824.14</v>
      </c>
      <c r="E13" s="353">
        <v>21.67</v>
      </c>
      <c r="F13" s="325">
        <v>54.5</v>
      </c>
      <c r="G13" s="290">
        <v>21.1</v>
      </c>
      <c r="H13" s="325">
        <v>47.2</v>
      </c>
      <c r="I13" s="351">
        <v>40.6</v>
      </c>
      <c r="J13" t="s">
        <v>399</v>
      </c>
      <c r="K13" t="s">
        <v>400</v>
      </c>
      <c r="L13" s="288" t="s">
        <v>382</v>
      </c>
      <c r="M13" t="s">
        <v>391</v>
      </c>
      <c r="N13" s="328">
        <v>6.2E-2</v>
      </c>
    </row>
    <row r="14" spans="1:14" x14ac:dyDescent="0.45">
      <c r="A14">
        <v>9</v>
      </c>
      <c r="B14" s="326">
        <v>45226</v>
      </c>
      <c r="C14" t="s">
        <v>401</v>
      </c>
      <c r="D14" s="187">
        <v>4117.37</v>
      </c>
      <c r="E14" s="353">
        <v>21.27</v>
      </c>
      <c r="F14" s="325">
        <v>48.1</v>
      </c>
      <c r="G14" s="290">
        <v>18.100000000000001</v>
      </c>
      <c r="H14" s="325">
        <v>48.2</v>
      </c>
      <c r="I14" s="291">
        <v>37.6</v>
      </c>
      <c r="J14" t="s">
        <v>399</v>
      </c>
      <c r="K14" t="s">
        <v>399</v>
      </c>
      <c r="L14" t="s">
        <v>382</v>
      </c>
      <c r="M14" t="s">
        <v>402</v>
      </c>
      <c r="N14" s="328">
        <v>8.8999999999999996E-2</v>
      </c>
    </row>
    <row r="15" spans="1:14" x14ac:dyDescent="0.45">
      <c r="A15">
        <v>10</v>
      </c>
      <c r="B15" s="326">
        <v>45299</v>
      </c>
      <c r="C15" t="s">
        <v>403</v>
      </c>
      <c r="D15" s="187">
        <v>4763.54</v>
      </c>
      <c r="E15" s="352">
        <v>13.35</v>
      </c>
      <c r="F15" s="286">
        <v>86.3</v>
      </c>
      <c r="G15" s="286">
        <v>95</v>
      </c>
      <c r="H15" s="325">
        <v>54.8</v>
      </c>
      <c r="I15" s="287">
        <v>79.900000000000006</v>
      </c>
      <c r="J15" t="s">
        <v>390</v>
      </c>
      <c r="K15" t="s">
        <v>381</v>
      </c>
      <c r="L15" t="s">
        <v>382</v>
      </c>
      <c r="M15" t="s">
        <v>383</v>
      </c>
      <c r="N15" s="330">
        <v>1.6E-2</v>
      </c>
    </row>
    <row r="16" spans="1:14" x14ac:dyDescent="0.45">
      <c r="A16">
        <v>11</v>
      </c>
      <c r="B16" s="326">
        <v>45509</v>
      </c>
      <c r="C16" t="s">
        <v>404</v>
      </c>
      <c r="D16" s="187">
        <v>5186.33</v>
      </c>
      <c r="E16" s="289">
        <v>38.57</v>
      </c>
      <c r="F16" s="290">
        <v>35.700000000000003</v>
      </c>
      <c r="G16" s="290">
        <v>35</v>
      </c>
      <c r="H16" s="325">
        <v>49</v>
      </c>
      <c r="I16" s="291">
        <v>39.4</v>
      </c>
      <c r="J16" t="s">
        <v>399</v>
      </c>
      <c r="K16" t="s">
        <v>405</v>
      </c>
      <c r="L16" t="s">
        <v>382</v>
      </c>
      <c r="M16" t="s">
        <v>406</v>
      </c>
      <c r="N16" s="328">
        <v>2.3E-2</v>
      </c>
    </row>
    <row r="17" spans="1:14" x14ac:dyDescent="0.45">
      <c r="A17">
        <v>12</v>
      </c>
      <c r="B17" s="326">
        <v>45754</v>
      </c>
      <c r="C17" t="s">
        <v>407</v>
      </c>
      <c r="D17" s="187">
        <v>5062.25</v>
      </c>
      <c r="E17" s="289">
        <v>46.98</v>
      </c>
      <c r="F17" s="290">
        <v>17.399999999999999</v>
      </c>
      <c r="G17" s="290">
        <v>2.9</v>
      </c>
      <c r="H17" s="325">
        <v>57.5</v>
      </c>
      <c r="I17" s="291">
        <v>24.4</v>
      </c>
      <c r="J17" t="s">
        <v>385</v>
      </c>
      <c r="K17" t="s">
        <v>395</v>
      </c>
      <c r="L17" t="s">
        <v>382</v>
      </c>
      <c r="M17" t="s">
        <v>387</v>
      </c>
      <c r="N17" s="328">
        <v>9.4E-2</v>
      </c>
    </row>
    <row r="18" spans="1:14" x14ac:dyDescent="0.45">
      <c r="A18">
        <v>13</v>
      </c>
      <c r="B18" s="326">
        <v>43136</v>
      </c>
      <c r="C18" t="s">
        <v>525</v>
      </c>
      <c r="D18" s="187">
        <v>2648.94</v>
      </c>
      <c r="E18" s="289">
        <v>37.32</v>
      </c>
      <c r="F18" s="290">
        <v>29.2</v>
      </c>
      <c r="G18" s="290">
        <v>28</v>
      </c>
      <c r="H18" s="286">
        <v>72</v>
      </c>
      <c r="I18" s="351">
        <v>41.6</v>
      </c>
      <c r="J18" t="s">
        <v>399</v>
      </c>
      <c r="K18" t="s">
        <v>405</v>
      </c>
      <c r="L18" t="s">
        <v>382</v>
      </c>
      <c r="M18" t="s">
        <v>406</v>
      </c>
      <c r="N18" s="328">
        <v>3.5000000000000003E-2</v>
      </c>
    </row>
    <row r="19" spans="1:14" x14ac:dyDescent="0.45">
      <c r="A19">
        <v>14</v>
      </c>
      <c r="B19" s="326">
        <v>43458</v>
      </c>
      <c r="C19" t="s">
        <v>526</v>
      </c>
      <c r="D19" s="187">
        <v>2351.1</v>
      </c>
      <c r="E19" s="289">
        <v>36.07</v>
      </c>
      <c r="F19" s="290">
        <v>7.7</v>
      </c>
      <c r="G19" s="290">
        <v>5</v>
      </c>
      <c r="H19" s="325">
        <v>42</v>
      </c>
      <c r="I19" s="291">
        <v>17</v>
      </c>
      <c r="J19" t="s">
        <v>385</v>
      </c>
      <c r="K19" t="s">
        <v>385</v>
      </c>
      <c r="L19" t="s">
        <v>382</v>
      </c>
      <c r="M19" t="s">
        <v>387</v>
      </c>
      <c r="N19" s="328">
        <v>7.9000000000000001E-2</v>
      </c>
    </row>
    <row r="20" spans="1:14" x14ac:dyDescent="0.45">
      <c r="A20">
        <v>15</v>
      </c>
      <c r="B20" s="326">
        <v>43469</v>
      </c>
      <c r="C20" t="s">
        <v>527</v>
      </c>
      <c r="D20" s="187">
        <v>2531.94</v>
      </c>
      <c r="E20" s="353">
        <v>21.38</v>
      </c>
      <c r="F20" s="290">
        <v>36.200000000000003</v>
      </c>
      <c r="G20" s="290">
        <v>15</v>
      </c>
      <c r="H20" s="325">
        <v>45</v>
      </c>
      <c r="I20" s="291">
        <v>31.4</v>
      </c>
      <c r="J20" t="s">
        <v>385</v>
      </c>
      <c r="K20" t="s">
        <v>400</v>
      </c>
      <c r="L20" t="s">
        <v>393</v>
      </c>
      <c r="M20" t="s">
        <v>402</v>
      </c>
      <c r="N20" s="328">
        <v>7.9000000000000001E-2</v>
      </c>
    </row>
    <row r="21" spans="1:14" x14ac:dyDescent="0.45">
      <c r="A21">
        <v>16</v>
      </c>
      <c r="B21" s="326">
        <v>45363</v>
      </c>
      <c r="C21" t="s">
        <v>528</v>
      </c>
      <c r="D21" s="187">
        <v>3855.76</v>
      </c>
      <c r="E21" s="289">
        <v>26.52</v>
      </c>
      <c r="F21" s="290">
        <v>24.4</v>
      </c>
      <c r="G21" s="290">
        <v>25</v>
      </c>
      <c r="H21" s="290">
        <v>38</v>
      </c>
      <c r="I21" s="291">
        <v>28.7</v>
      </c>
      <c r="J21" t="s">
        <v>385</v>
      </c>
      <c r="K21" t="s">
        <v>395</v>
      </c>
      <c r="L21" t="s">
        <v>382</v>
      </c>
      <c r="M21" t="s">
        <v>529</v>
      </c>
      <c r="N21" s="328">
        <v>3.5000000000000003E-2</v>
      </c>
    </row>
    <row r="22" spans="1:14" x14ac:dyDescent="0.45">
      <c r="A22">
        <v>17</v>
      </c>
      <c r="B22" s="326">
        <v>45553</v>
      </c>
      <c r="C22" t="s">
        <v>530</v>
      </c>
      <c r="D22" s="187">
        <v>5713.64</v>
      </c>
      <c r="E22" s="352">
        <v>16.329999999999998</v>
      </c>
      <c r="F22" s="286">
        <v>81.400000000000006</v>
      </c>
      <c r="G22" s="286">
        <v>88</v>
      </c>
      <c r="H22" s="286">
        <v>62</v>
      </c>
      <c r="I22" s="287">
        <v>77.900000000000006</v>
      </c>
      <c r="J22" t="s">
        <v>390</v>
      </c>
      <c r="K22" t="s">
        <v>381</v>
      </c>
      <c r="L22" t="s">
        <v>382</v>
      </c>
      <c r="M22" t="s">
        <v>383</v>
      </c>
      <c r="N22" s="350">
        <v>0.02</v>
      </c>
    </row>
    <row r="23" spans="1:14" x14ac:dyDescent="0.45">
      <c r="A23">
        <v>18</v>
      </c>
      <c r="B23" s="326">
        <v>45684</v>
      </c>
      <c r="C23" t="s">
        <v>531</v>
      </c>
      <c r="D23" s="187">
        <v>6012.28</v>
      </c>
      <c r="E23" s="352">
        <v>18.18</v>
      </c>
      <c r="F23" s="286">
        <v>64.099999999999994</v>
      </c>
      <c r="G23" s="286">
        <v>62</v>
      </c>
      <c r="H23" s="286">
        <v>68</v>
      </c>
      <c r="I23" s="287">
        <v>64.5</v>
      </c>
      <c r="J23" t="s">
        <v>390</v>
      </c>
      <c r="K23" t="s">
        <v>532</v>
      </c>
      <c r="L23" t="s">
        <v>382</v>
      </c>
      <c r="M23" t="s">
        <v>383</v>
      </c>
      <c r="N23" s="350">
        <v>0</v>
      </c>
    </row>
    <row r="24" spans="1:14" x14ac:dyDescent="0.45">
      <c r="A24">
        <v>19</v>
      </c>
      <c r="B24" s="326">
        <v>45707</v>
      </c>
      <c r="C24" t="s">
        <v>533</v>
      </c>
      <c r="D24" s="187">
        <v>6144.15</v>
      </c>
      <c r="E24" s="352">
        <v>15.27</v>
      </c>
      <c r="F24" s="286">
        <v>88</v>
      </c>
      <c r="G24" s="286">
        <v>90</v>
      </c>
      <c r="H24" s="286">
        <v>68</v>
      </c>
      <c r="I24" s="287">
        <v>82.7</v>
      </c>
      <c r="J24" t="s">
        <v>380</v>
      </c>
      <c r="K24" t="s">
        <v>380</v>
      </c>
      <c r="L24" t="s">
        <v>382</v>
      </c>
      <c r="M24" t="s">
        <v>383</v>
      </c>
      <c r="N24" s="329">
        <v>-0.08</v>
      </c>
    </row>
    <row r="25" spans="1:14" x14ac:dyDescent="0.45">
      <c r="A25">
        <v>20</v>
      </c>
      <c r="B25" s="324">
        <v>42240</v>
      </c>
      <c r="C25" t="s">
        <v>539</v>
      </c>
      <c r="D25" s="187">
        <v>1893.21</v>
      </c>
      <c r="E25" s="289">
        <v>40.74</v>
      </c>
      <c r="F25" s="290">
        <v>18</v>
      </c>
      <c r="G25" s="290">
        <v>8</v>
      </c>
      <c r="H25" s="286">
        <v>65</v>
      </c>
      <c r="I25" s="291">
        <v>28.6</v>
      </c>
      <c r="J25" s="288" t="s">
        <v>385</v>
      </c>
      <c r="K25" s="288" t="s">
        <v>395</v>
      </c>
      <c r="L25" t="s">
        <v>382</v>
      </c>
      <c r="M25" t="s">
        <v>387</v>
      </c>
      <c r="N25" s="350">
        <v>2.1000000000000001E-2</v>
      </c>
    </row>
    <row r="26" spans="1:14" x14ac:dyDescent="0.45">
      <c r="A26">
        <v>21</v>
      </c>
      <c r="B26" s="324">
        <v>42545</v>
      </c>
      <c r="C26" t="s">
        <v>540</v>
      </c>
      <c r="D26" s="187">
        <v>2037.41</v>
      </c>
      <c r="E26" s="289">
        <v>25.76</v>
      </c>
      <c r="F26" s="290">
        <v>31.7</v>
      </c>
      <c r="G26" s="290">
        <v>30</v>
      </c>
      <c r="H26" s="286">
        <v>68</v>
      </c>
      <c r="I26" s="351">
        <v>42</v>
      </c>
      <c r="J26" s="288" t="s">
        <v>399</v>
      </c>
      <c r="K26" s="288" t="s">
        <v>405</v>
      </c>
      <c r="L26" t="s">
        <v>382</v>
      </c>
      <c r="M26" t="s">
        <v>541</v>
      </c>
      <c r="N26" s="328">
        <v>6.5000000000000002E-2</v>
      </c>
    </row>
    <row r="27" spans="1:14" x14ac:dyDescent="0.45">
      <c r="A27">
        <v>22</v>
      </c>
      <c r="B27" s="324">
        <v>42683</v>
      </c>
      <c r="C27" t="s">
        <v>542</v>
      </c>
      <c r="D27" s="187">
        <v>2163.2600000000002</v>
      </c>
      <c r="E27" s="352">
        <v>14.17</v>
      </c>
      <c r="F27" s="286">
        <v>78</v>
      </c>
      <c r="G27" s="286">
        <v>82</v>
      </c>
      <c r="H27" s="325">
        <v>55</v>
      </c>
      <c r="I27" s="287">
        <v>72.5</v>
      </c>
      <c r="J27" s="282" t="s">
        <v>390</v>
      </c>
      <c r="K27" s="282" t="s">
        <v>381</v>
      </c>
      <c r="L27" t="s">
        <v>382</v>
      </c>
      <c r="M27" t="s">
        <v>383</v>
      </c>
      <c r="N27" s="328">
        <v>4.4999999999999998E-2</v>
      </c>
    </row>
    <row r="28" spans="1:14" x14ac:dyDescent="0.45">
      <c r="A28">
        <v>23</v>
      </c>
      <c r="B28" s="324">
        <v>43725</v>
      </c>
      <c r="C28" t="s">
        <v>543</v>
      </c>
      <c r="D28" s="187">
        <v>3006.73</v>
      </c>
      <c r="E28" s="352">
        <v>14.91</v>
      </c>
      <c r="F28" s="286">
        <v>72</v>
      </c>
      <c r="G28" s="286">
        <v>85</v>
      </c>
      <c r="H28" s="290">
        <v>32</v>
      </c>
      <c r="I28" s="287">
        <v>64.5</v>
      </c>
      <c r="J28" s="282" t="s">
        <v>390</v>
      </c>
      <c r="K28" s="282" t="s">
        <v>390</v>
      </c>
      <c r="L28" t="s">
        <v>382</v>
      </c>
      <c r="M28" t="s">
        <v>383</v>
      </c>
      <c r="N28" s="350">
        <v>-3.0000000000000001E-3</v>
      </c>
    </row>
    <row r="29" spans="1:14" x14ac:dyDescent="0.45">
      <c r="A29">
        <v>24</v>
      </c>
      <c r="B29" s="324">
        <v>44526</v>
      </c>
      <c r="C29" t="s">
        <v>544</v>
      </c>
      <c r="D29" s="187">
        <v>4594.62</v>
      </c>
      <c r="E29" s="289">
        <v>28.62</v>
      </c>
      <c r="F29" s="290">
        <v>37.799999999999997</v>
      </c>
      <c r="G29" s="286">
        <v>68</v>
      </c>
      <c r="H29" s="286">
        <v>85</v>
      </c>
      <c r="I29" s="287">
        <v>62.5</v>
      </c>
      <c r="J29" s="282" t="s">
        <v>390</v>
      </c>
      <c r="K29" s="282" t="s">
        <v>390</v>
      </c>
      <c r="L29" t="s">
        <v>382</v>
      </c>
      <c r="M29" t="s">
        <v>541</v>
      </c>
      <c r="N29" s="328">
        <v>4.2999999999999997E-2</v>
      </c>
    </row>
    <row r="30" spans="1:14" x14ac:dyDescent="0.45">
      <c r="A30" t="s">
        <v>538</v>
      </c>
      <c r="B30" s="326">
        <v>46079</v>
      </c>
      <c r="C30" t="s">
        <v>408</v>
      </c>
      <c r="D30" s="187">
        <v>6946.13</v>
      </c>
      <c r="E30" s="352">
        <v>17.93</v>
      </c>
      <c r="F30" s="286">
        <v>84.1</v>
      </c>
      <c r="G30" s="286">
        <v>60</v>
      </c>
      <c r="H30" s="286">
        <v>70</v>
      </c>
      <c r="I30" s="287">
        <v>71.400000000000006</v>
      </c>
      <c r="J30" t="s">
        <v>390</v>
      </c>
      <c r="K30" t="s">
        <v>390</v>
      </c>
      <c r="L30" t="s">
        <v>409</v>
      </c>
      <c r="M30" t="s">
        <v>383</v>
      </c>
      <c r="N30" s="327" t="s">
        <v>410</v>
      </c>
    </row>
    <row r="32" spans="1:14" ht="17.25" x14ac:dyDescent="0.55000000000000004">
      <c r="A32" s="292" t="s">
        <v>411</v>
      </c>
    </row>
    <row r="34" spans="1:7" x14ac:dyDescent="0.45">
      <c r="A34" s="294" t="s">
        <v>412</v>
      </c>
      <c r="B34" s="294" t="s">
        <v>413</v>
      </c>
      <c r="C34" s="294" t="s">
        <v>414</v>
      </c>
      <c r="E34" s="295" t="s">
        <v>415</v>
      </c>
    </row>
    <row r="35" spans="1:7" x14ac:dyDescent="0.45">
      <c r="A35" t="s">
        <v>416</v>
      </c>
      <c r="B35" t="s">
        <v>585</v>
      </c>
      <c r="C35" t="s">
        <v>418</v>
      </c>
      <c r="E35">
        <v>1</v>
      </c>
      <c r="F35" t="s">
        <v>589</v>
      </c>
    </row>
    <row r="36" spans="1:7" x14ac:dyDescent="0.45">
      <c r="A36" t="s">
        <v>417</v>
      </c>
      <c r="B36" t="s">
        <v>545</v>
      </c>
      <c r="C36" t="s">
        <v>418</v>
      </c>
      <c r="E36">
        <v>2</v>
      </c>
      <c r="F36" t="s">
        <v>590</v>
      </c>
    </row>
    <row r="37" spans="1:7" x14ac:dyDescent="0.45">
      <c r="A37" t="s">
        <v>419</v>
      </c>
      <c r="B37" t="s">
        <v>586</v>
      </c>
      <c r="C37" t="s">
        <v>418</v>
      </c>
      <c r="E37">
        <v>3</v>
      </c>
      <c r="F37" t="s">
        <v>591</v>
      </c>
    </row>
    <row r="38" spans="1:7" x14ac:dyDescent="0.45">
      <c r="A38" t="s">
        <v>420</v>
      </c>
      <c r="B38" t="s">
        <v>534</v>
      </c>
      <c r="C38" t="s">
        <v>535</v>
      </c>
      <c r="E38">
        <v>4</v>
      </c>
      <c r="F38" t="s">
        <v>592</v>
      </c>
    </row>
    <row r="39" spans="1:7" x14ac:dyDescent="0.45">
      <c r="A39" t="s">
        <v>421</v>
      </c>
      <c r="B39">
        <v>0</v>
      </c>
      <c r="C39" t="s">
        <v>422</v>
      </c>
      <c r="E39">
        <v>5</v>
      </c>
      <c r="F39" t="s">
        <v>593</v>
      </c>
    </row>
    <row r="40" spans="1:7" x14ac:dyDescent="0.45">
      <c r="A40" t="s">
        <v>423</v>
      </c>
      <c r="B40" t="s">
        <v>587</v>
      </c>
      <c r="C40" t="s">
        <v>424</v>
      </c>
      <c r="E40">
        <v>6</v>
      </c>
      <c r="F40" t="s">
        <v>594</v>
      </c>
    </row>
    <row r="41" spans="1:7" x14ac:dyDescent="0.45">
      <c r="A41" t="s">
        <v>425</v>
      </c>
      <c r="B41" t="s">
        <v>588</v>
      </c>
      <c r="C41" t="s">
        <v>424</v>
      </c>
      <c r="E41">
        <v>7</v>
      </c>
      <c r="F41" t="s">
        <v>595</v>
      </c>
    </row>
    <row r="43" spans="1:7" x14ac:dyDescent="0.45">
      <c r="A43" s="296" t="s">
        <v>426</v>
      </c>
      <c r="E43" s="297" t="s">
        <v>427</v>
      </c>
    </row>
    <row r="44" spans="1:7" x14ac:dyDescent="0.45">
      <c r="A44" t="s">
        <v>428</v>
      </c>
      <c r="E44" s="343" t="s">
        <v>2</v>
      </c>
      <c r="F44" s="343" t="s">
        <v>429</v>
      </c>
      <c r="G44" s="343" t="s">
        <v>77</v>
      </c>
    </row>
    <row r="45" spans="1:7" x14ac:dyDescent="0.45">
      <c r="A45" t="s">
        <v>597</v>
      </c>
      <c r="E45" s="282">
        <v>1</v>
      </c>
      <c r="F45" s="282" t="s">
        <v>551</v>
      </c>
      <c r="G45" s="282" t="s">
        <v>552</v>
      </c>
    </row>
    <row r="46" spans="1:7" x14ac:dyDescent="0.45">
      <c r="A46" t="s">
        <v>431</v>
      </c>
      <c r="E46">
        <v>2</v>
      </c>
      <c r="F46" s="282" t="s">
        <v>553</v>
      </c>
      <c r="G46" s="282" t="s">
        <v>554</v>
      </c>
    </row>
    <row r="47" spans="1:7" x14ac:dyDescent="0.45">
      <c r="E47">
        <v>3</v>
      </c>
      <c r="F47" s="282" t="s">
        <v>555</v>
      </c>
      <c r="G47" s="282" t="s">
        <v>554</v>
      </c>
    </row>
    <row r="48" spans="1:7" x14ac:dyDescent="0.45">
      <c r="A48" t="s">
        <v>432</v>
      </c>
      <c r="E48">
        <v>4</v>
      </c>
      <c r="F48" s="282" t="s">
        <v>556</v>
      </c>
      <c r="G48" s="282" t="s">
        <v>554</v>
      </c>
    </row>
    <row r="49" spans="1:7" x14ac:dyDescent="0.45">
      <c r="A49" t="s">
        <v>598</v>
      </c>
      <c r="E49" s="297">
        <v>5</v>
      </c>
      <c r="F49" s="349" t="s">
        <v>575</v>
      </c>
      <c r="G49" s="349" t="s">
        <v>554</v>
      </c>
    </row>
    <row r="50" spans="1:7" x14ac:dyDescent="0.45">
      <c r="A50" t="s">
        <v>536</v>
      </c>
      <c r="E50">
        <v>6</v>
      </c>
      <c r="F50" s="347" t="s">
        <v>576</v>
      </c>
      <c r="G50" s="282" t="s">
        <v>554</v>
      </c>
    </row>
    <row r="51" spans="1:7" x14ac:dyDescent="0.45">
      <c r="A51" t="s">
        <v>537</v>
      </c>
      <c r="E51" s="297" t="s">
        <v>557</v>
      </c>
    </row>
    <row r="52" spans="1:7" x14ac:dyDescent="0.45">
      <c r="A52" t="s">
        <v>433</v>
      </c>
      <c r="E52" s="297" t="s">
        <v>2</v>
      </c>
      <c r="F52" s="293" t="s">
        <v>558</v>
      </c>
      <c r="G52" s="283" t="s">
        <v>559</v>
      </c>
    </row>
    <row r="53" spans="1:7" x14ac:dyDescent="0.45">
      <c r="E53" s="346">
        <v>1</v>
      </c>
      <c r="F53" s="346" t="s">
        <v>560</v>
      </c>
      <c r="G53" s="346" t="s">
        <v>561</v>
      </c>
    </row>
    <row r="54" spans="1:7" x14ac:dyDescent="0.45">
      <c r="A54" s="297" t="s">
        <v>434</v>
      </c>
      <c r="E54" s="345">
        <v>2</v>
      </c>
      <c r="F54" s="345" t="s">
        <v>562</v>
      </c>
      <c r="G54" s="345" t="s">
        <v>599</v>
      </c>
    </row>
    <row r="55" spans="1:7" x14ac:dyDescent="0.45">
      <c r="A55" s="298" t="s">
        <v>596</v>
      </c>
      <c r="E55" s="345">
        <v>3</v>
      </c>
      <c r="F55" s="345" t="s">
        <v>563</v>
      </c>
      <c r="G55" s="345" t="s">
        <v>600</v>
      </c>
    </row>
    <row r="56" spans="1:7" x14ac:dyDescent="0.45">
      <c r="A56" s="298" t="s">
        <v>435</v>
      </c>
      <c r="E56" s="345">
        <v>4</v>
      </c>
      <c r="F56" s="345" t="s">
        <v>601</v>
      </c>
      <c r="G56" s="345" t="s">
        <v>602</v>
      </c>
    </row>
    <row r="57" spans="1:7" x14ac:dyDescent="0.45">
      <c r="A57" s="298" t="s">
        <v>436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6884D-F18A-453E-82CC-B7AE6CFAE30A}">
  <dimension ref="A1:J95"/>
  <sheetViews>
    <sheetView workbookViewId="0">
      <selection activeCell="B78" sqref="B78"/>
    </sheetView>
  </sheetViews>
  <sheetFormatPr baseColWidth="10" defaultRowHeight="14.25" x14ac:dyDescent="0.45"/>
  <cols>
    <col min="1" max="1" width="17.06640625" customWidth="1"/>
    <col min="2" max="2" width="23.33203125" customWidth="1"/>
    <col min="3" max="3" width="17.9296875" customWidth="1"/>
    <col min="4" max="4" width="24.19921875" customWidth="1"/>
    <col min="5" max="6" width="17.06640625" customWidth="1"/>
    <col min="7" max="8" width="26" customWidth="1"/>
    <col min="9" max="9" width="11.6640625" customWidth="1"/>
    <col min="10" max="10" width="57.46484375" customWidth="1"/>
  </cols>
  <sheetData>
    <row r="1" spans="1:10" ht="18" x14ac:dyDescent="0.55000000000000004">
      <c r="A1" s="280" t="s">
        <v>603</v>
      </c>
    </row>
    <row r="2" spans="1:10" x14ac:dyDescent="0.45">
      <c r="A2" s="281" t="s">
        <v>604</v>
      </c>
    </row>
    <row r="3" spans="1:10" x14ac:dyDescent="0.45">
      <c r="A3" s="283" t="s">
        <v>913</v>
      </c>
    </row>
    <row r="5" spans="1:10" ht="15.75" x14ac:dyDescent="0.5">
      <c r="A5" s="355" t="s">
        <v>605</v>
      </c>
    </row>
    <row r="7" spans="1:10" ht="18" x14ac:dyDescent="0.55000000000000004">
      <c r="A7" s="293" t="s">
        <v>146</v>
      </c>
      <c r="B7" s="356">
        <v>44</v>
      </c>
      <c r="D7" s="359" t="s">
        <v>610</v>
      </c>
      <c r="E7" s="359" t="s">
        <v>46</v>
      </c>
      <c r="F7" s="359" t="s">
        <v>611</v>
      </c>
      <c r="G7" s="359" t="s">
        <v>612</v>
      </c>
      <c r="H7" s="359" t="s">
        <v>613</v>
      </c>
      <c r="I7" s="359" t="s">
        <v>614</v>
      </c>
      <c r="J7" s="359" t="s">
        <v>615</v>
      </c>
    </row>
    <row r="8" spans="1:10" x14ac:dyDescent="0.45">
      <c r="A8" s="293" t="s">
        <v>147</v>
      </c>
      <c r="B8" s="357" t="s">
        <v>911</v>
      </c>
      <c r="D8" s="380" t="s">
        <v>772</v>
      </c>
      <c r="E8" t="s">
        <v>773</v>
      </c>
      <c r="F8" s="360" t="s">
        <v>620</v>
      </c>
      <c r="G8" t="s">
        <v>774</v>
      </c>
      <c r="H8" t="s">
        <v>775</v>
      </c>
      <c r="I8" t="s">
        <v>776</v>
      </c>
      <c r="J8" t="s">
        <v>777</v>
      </c>
    </row>
    <row r="9" spans="1:10" x14ac:dyDescent="0.45">
      <c r="A9" s="293" t="s">
        <v>606</v>
      </c>
      <c r="B9" s="342">
        <v>60</v>
      </c>
      <c r="D9" s="381" t="s">
        <v>778</v>
      </c>
      <c r="E9" t="s">
        <v>779</v>
      </c>
      <c r="F9" t="s">
        <v>616</v>
      </c>
      <c r="G9" t="s">
        <v>780</v>
      </c>
      <c r="H9" t="s">
        <v>617</v>
      </c>
      <c r="I9" t="s">
        <v>617</v>
      </c>
      <c r="J9" t="s">
        <v>618</v>
      </c>
    </row>
    <row r="10" spans="1:10" x14ac:dyDescent="0.45">
      <c r="A10" s="293" t="s">
        <v>607</v>
      </c>
      <c r="B10" s="288">
        <v>10</v>
      </c>
      <c r="D10" s="361" t="s">
        <v>781</v>
      </c>
      <c r="E10" s="362" t="s">
        <v>619</v>
      </c>
      <c r="F10" s="362" t="s">
        <v>782</v>
      </c>
      <c r="G10" s="362" t="s">
        <v>783</v>
      </c>
      <c r="H10" s="362" t="s">
        <v>784</v>
      </c>
      <c r="I10" s="362" t="s">
        <v>785</v>
      </c>
      <c r="J10" s="362" t="s">
        <v>786</v>
      </c>
    </row>
    <row r="11" spans="1:10" x14ac:dyDescent="0.45">
      <c r="A11" s="293" t="s">
        <v>608</v>
      </c>
      <c r="B11" s="282">
        <v>65</v>
      </c>
      <c r="D11" s="382" t="s">
        <v>787</v>
      </c>
      <c r="E11" t="s">
        <v>621</v>
      </c>
      <c r="F11" t="s">
        <v>622</v>
      </c>
      <c r="G11" t="s">
        <v>788</v>
      </c>
      <c r="H11" t="s">
        <v>789</v>
      </c>
      <c r="I11" t="s">
        <v>790</v>
      </c>
      <c r="J11" t="s">
        <v>791</v>
      </c>
    </row>
    <row r="12" spans="1:10" x14ac:dyDescent="0.45">
      <c r="A12" s="293" t="s">
        <v>609</v>
      </c>
      <c r="B12" s="357" t="s">
        <v>912</v>
      </c>
      <c r="D12" s="382" t="s">
        <v>792</v>
      </c>
      <c r="E12" t="s">
        <v>623</v>
      </c>
      <c r="F12" t="s">
        <v>624</v>
      </c>
      <c r="G12" t="s">
        <v>793</v>
      </c>
      <c r="H12" t="s">
        <v>794</v>
      </c>
      <c r="I12" t="s">
        <v>795</v>
      </c>
      <c r="J12" t="s">
        <v>796</v>
      </c>
    </row>
    <row r="13" spans="1:10" x14ac:dyDescent="0.45">
      <c r="A13" s="293" t="s">
        <v>134</v>
      </c>
      <c r="B13" s="358">
        <v>46086</v>
      </c>
      <c r="D13" s="363" t="s">
        <v>893</v>
      </c>
      <c r="E13" s="364" t="s">
        <v>797</v>
      </c>
      <c r="F13" s="404" t="s">
        <v>832</v>
      </c>
      <c r="G13" s="364" t="s">
        <v>894</v>
      </c>
      <c r="H13" s="364" t="s">
        <v>775</v>
      </c>
      <c r="I13" s="364" t="s">
        <v>895</v>
      </c>
      <c r="J13" s="364" t="s">
        <v>796</v>
      </c>
    </row>
    <row r="14" spans="1:10" x14ac:dyDescent="0.45">
      <c r="D14" s="431" t="s">
        <v>896</v>
      </c>
      <c r="E14" s="348" t="s">
        <v>797</v>
      </c>
      <c r="F14" s="348" t="s">
        <v>875</v>
      </c>
      <c r="G14" s="348" t="s">
        <v>897</v>
      </c>
      <c r="H14" s="348" t="s">
        <v>876</v>
      </c>
      <c r="I14" s="348" t="s">
        <v>877</v>
      </c>
      <c r="J14" s="348" t="s">
        <v>898</v>
      </c>
    </row>
    <row r="16" spans="1:10" ht="15.75" x14ac:dyDescent="0.5">
      <c r="A16" s="355" t="s">
        <v>625</v>
      </c>
    </row>
    <row r="18" spans="1:10" x14ac:dyDescent="0.45">
      <c r="A18" s="347" t="s">
        <v>626</v>
      </c>
    </row>
    <row r="19" spans="1:10" x14ac:dyDescent="0.45">
      <c r="A19" s="365" t="s">
        <v>627</v>
      </c>
      <c r="B19" s="365" t="s">
        <v>628</v>
      </c>
      <c r="C19" s="365" t="s">
        <v>629</v>
      </c>
      <c r="D19" s="365" t="s">
        <v>630</v>
      </c>
      <c r="E19" s="365" t="s">
        <v>631</v>
      </c>
      <c r="F19" s="365" t="s">
        <v>632</v>
      </c>
      <c r="G19" s="365" t="s">
        <v>633</v>
      </c>
      <c r="H19" s="365" t="s">
        <v>634</v>
      </c>
      <c r="I19" s="365" t="s">
        <v>635</v>
      </c>
      <c r="J19" s="365" t="s">
        <v>430</v>
      </c>
    </row>
    <row r="20" spans="1:10" x14ac:dyDescent="0.45">
      <c r="A20" s="293" t="s">
        <v>636</v>
      </c>
      <c r="B20" t="s">
        <v>637</v>
      </c>
      <c r="C20" t="s">
        <v>638</v>
      </c>
      <c r="D20" s="347">
        <v>92</v>
      </c>
      <c r="E20" t="s">
        <v>639</v>
      </c>
      <c r="F20" s="366">
        <v>0.315</v>
      </c>
      <c r="G20" t="s">
        <v>640</v>
      </c>
      <c r="H20" t="s">
        <v>641</v>
      </c>
      <c r="I20" t="s">
        <v>642</v>
      </c>
      <c r="J20" t="s">
        <v>643</v>
      </c>
    </row>
    <row r="21" spans="1:10" x14ac:dyDescent="0.45">
      <c r="A21" s="293" t="s">
        <v>644</v>
      </c>
      <c r="B21" t="s">
        <v>645</v>
      </c>
      <c r="C21" t="s">
        <v>646</v>
      </c>
      <c r="D21" s="347">
        <v>88</v>
      </c>
      <c r="E21" t="s">
        <v>639</v>
      </c>
      <c r="F21" s="366">
        <v>0.27500000000000002</v>
      </c>
      <c r="G21" t="s">
        <v>640</v>
      </c>
      <c r="H21" t="s">
        <v>641</v>
      </c>
      <c r="I21" t="s">
        <v>647</v>
      </c>
      <c r="J21" t="s">
        <v>648</v>
      </c>
    </row>
    <row r="22" spans="1:10" x14ac:dyDescent="0.45">
      <c r="A22" s="293" t="s">
        <v>649</v>
      </c>
      <c r="B22" t="s">
        <v>650</v>
      </c>
      <c r="C22" t="s">
        <v>638</v>
      </c>
      <c r="D22" s="347">
        <v>82</v>
      </c>
      <c r="E22" t="s">
        <v>651</v>
      </c>
      <c r="F22" s="366">
        <v>0.48399999999999999</v>
      </c>
      <c r="G22" t="s">
        <v>652</v>
      </c>
      <c r="H22" t="s">
        <v>641</v>
      </c>
      <c r="I22" t="s">
        <v>653</v>
      </c>
      <c r="J22" t="s">
        <v>654</v>
      </c>
    </row>
    <row r="23" spans="1:10" x14ac:dyDescent="0.45">
      <c r="A23" s="293" t="s">
        <v>655</v>
      </c>
      <c r="B23" t="s">
        <v>656</v>
      </c>
      <c r="C23" t="s">
        <v>646</v>
      </c>
      <c r="D23" s="347">
        <v>88</v>
      </c>
      <c r="E23" t="s">
        <v>657</v>
      </c>
      <c r="F23" s="366">
        <v>0.121</v>
      </c>
      <c r="G23" t="s">
        <v>652</v>
      </c>
      <c r="H23" t="s">
        <v>641</v>
      </c>
      <c r="I23" t="s">
        <v>653</v>
      </c>
      <c r="J23" t="s">
        <v>658</v>
      </c>
    </row>
    <row r="25" spans="1:10" x14ac:dyDescent="0.45">
      <c r="A25" s="367" t="s">
        <v>659</v>
      </c>
    </row>
    <row r="26" spans="1:10" x14ac:dyDescent="0.45">
      <c r="A26" s="368" t="s">
        <v>627</v>
      </c>
      <c r="B26" s="368" t="s">
        <v>628</v>
      </c>
      <c r="C26" s="368" t="s">
        <v>629</v>
      </c>
      <c r="D26" s="368" t="s">
        <v>630</v>
      </c>
      <c r="E26" s="368" t="s">
        <v>631</v>
      </c>
      <c r="F26" s="368" t="s">
        <v>632</v>
      </c>
      <c r="G26" s="368" t="s">
        <v>633</v>
      </c>
      <c r="H26" s="368" t="s">
        <v>634</v>
      </c>
      <c r="I26" s="368" t="s">
        <v>635</v>
      </c>
      <c r="J26" s="368" t="s">
        <v>430</v>
      </c>
    </row>
    <row r="27" spans="1:10" x14ac:dyDescent="0.45">
      <c r="A27" t="s">
        <v>660</v>
      </c>
      <c r="B27" t="s">
        <v>661</v>
      </c>
      <c r="C27" t="s">
        <v>662</v>
      </c>
      <c r="D27">
        <v>76</v>
      </c>
      <c r="E27" t="s">
        <v>651</v>
      </c>
      <c r="F27" s="366">
        <v>0.47099999999999997</v>
      </c>
      <c r="G27" t="s">
        <v>663</v>
      </c>
      <c r="H27" t="s">
        <v>664</v>
      </c>
      <c r="I27" t="s">
        <v>653</v>
      </c>
      <c r="J27" t="s">
        <v>665</v>
      </c>
    </row>
    <row r="28" spans="1:10" x14ac:dyDescent="0.45">
      <c r="A28" t="s">
        <v>666</v>
      </c>
      <c r="B28" t="s">
        <v>667</v>
      </c>
      <c r="C28" t="s">
        <v>638</v>
      </c>
      <c r="D28">
        <v>75</v>
      </c>
      <c r="E28" t="s">
        <v>651</v>
      </c>
      <c r="F28" s="366">
        <v>0.501</v>
      </c>
      <c r="G28" t="s">
        <v>652</v>
      </c>
      <c r="H28" t="s">
        <v>668</v>
      </c>
      <c r="I28" s="360">
        <v>0.02</v>
      </c>
      <c r="J28" t="s">
        <v>669</v>
      </c>
    </row>
    <row r="29" spans="1:10" x14ac:dyDescent="0.45">
      <c r="A29" t="s">
        <v>670</v>
      </c>
      <c r="B29" t="s">
        <v>671</v>
      </c>
      <c r="C29" t="s">
        <v>500</v>
      </c>
      <c r="D29">
        <v>82</v>
      </c>
      <c r="E29" t="s">
        <v>657</v>
      </c>
      <c r="F29" s="369">
        <v>5.1999999999999998E-2</v>
      </c>
      <c r="G29" t="s">
        <v>640</v>
      </c>
      <c r="H29" t="s">
        <v>672</v>
      </c>
      <c r="I29" t="s">
        <v>653</v>
      </c>
      <c r="J29" t="s">
        <v>673</v>
      </c>
    </row>
    <row r="30" spans="1:10" x14ac:dyDescent="0.45">
      <c r="A30" t="s">
        <v>674</v>
      </c>
      <c r="B30" t="s">
        <v>675</v>
      </c>
      <c r="C30" t="s">
        <v>500</v>
      </c>
      <c r="D30">
        <v>84</v>
      </c>
      <c r="E30" t="s">
        <v>676</v>
      </c>
      <c r="F30" s="370">
        <v>-0.03</v>
      </c>
      <c r="G30" t="s">
        <v>640</v>
      </c>
      <c r="H30" t="s">
        <v>677</v>
      </c>
      <c r="I30" t="s">
        <v>678</v>
      </c>
      <c r="J30" t="s">
        <v>679</v>
      </c>
    </row>
    <row r="31" spans="1:10" x14ac:dyDescent="0.45">
      <c r="A31" t="s">
        <v>680</v>
      </c>
      <c r="B31" t="s">
        <v>681</v>
      </c>
      <c r="C31" t="s">
        <v>682</v>
      </c>
      <c r="D31">
        <v>83</v>
      </c>
      <c r="E31" t="s">
        <v>676</v>
      </c>
      <c r="F31" s="370">
        <v>-6.2E-2</v>
      </c>
      <c r="G31" t="s">
        <v>663</v>
      </c>
      <c r="H31" t="s">
        <v>664</v>
      </c>
      <c r="I31" t="s">
        <v>683</v>
      </c>
      <c r="J31" t="s">
        <v>684</v>
      </c>
    </row>
    <row r="32" spans="1:10" x14ac:dyDescent="0.45">
      <c r="A32" t="s">
        <v>685</v>
      </c>
      <c r="B32" t="s">
        <v>686</v>
      </c>
      <c r="C32" t="s">
        <v>662</v>
      </c>
      <c r="D32">
        <v>86</v>
      </c>
      <c r="E32" t="s">
        <v>676</v>
      </c>
      <c r="F32" s="370">
        <v>-0.129</v>
      </c>
      <c r="G32" t="s">
        <v>652</v>
      </c>
      <c r="H32" t="s">
        <v>677</v>
      </c>
      <c r="I32" t="s">
        <v>687</v>
      </c>
      <c r="J32" t="s">
        <v>688</v>
      </c>
    </row>
    <row r="34" spans="1:10" x14ac:dyDescent="0.45">
      <c r="A34" s="296" t="s">
        <v>689</v>
      </c>
    </row>
    <row r="35" spans="1:10" x14ac:dyDescent="0.45">
      <c r="A35" s="363" t="s">
        <v>627</v>
      </c>
      <c r="B35" s="363" t="s">
        <v>628</v>
      </c>
      <c r="C35" s="363" t="s">
        <v>629</v>
      </c>
      <c r="D35" s="363" t="s">
        <v>630</v>
      </c>
      <c r="E35" s="363" t="s">
        <v>631</v>
      </c>
      <c r="F35" s="363" t="s">
        <v>632</v>
      </c>
      <c r="G35" s="363" t="s">
        <v>633</v>
      </c>
      <c r="H35" s="363" t="s">
        <v>634</v>
      </c>
      <c r="I35" s="363" t="s">
        <v>635</v>
      </c>
      <c r="J35" s="363" t="s">
        <v>430</v>
      </c>
    </row>
    <row r="36" spans="1:10" x14ac:dyDescent="0.45">
      <c r="A36" t="s">
        <v>690</v>
      </c>
      <c r="B36" t="s">
        <v>691</v>
      </c>
      <c r="C36" t="s">
        <v>692</v>
      </c>
      <c r="D36" s="282">
        <v>84</v>
      </c>
      <c r="E36" t="s">
        <v>516</v>
      </c>
      <c r="F36" s="370">
        <v>-0.55100000000000005</v>
      </c>
      <c r="G36" t="s">
        <v>693</v>
      </c>
      <c r="H36" t="s">
        <v>694</v>
      </c>
      <c r="I36" s="360">
        <v>0</v>
      </c>
      <c r="J36" t="s">
        <v>695</v>
      </c>
    </row>
    <row r="37" spans="1:10" x14ac:dyDescent="0.45">
      <c r="A37" t="s">
        <v>696</v>
      </c>
      <c r="B37" t="s">
        <v>697</v>
      </c>
      <c r="C37" t="s">
        <v>496</v>
      </c>
      <c r="D37" s="282">
        <v>87</v>
      </c>
      <c r="E37" t="s">
        <v>676</v>
      </c>
      <c r="F37" s="370">
        <v>-0.16200000000000001</v>
      </c>
      <c r="G37" t="s">
        <v>652</v>
      </c>
      <c r="H37" t="s">
        <v>694</v>
      </c>
      <c r="I37" s="360">
        <v>0</v>
      </c>
      <c r="J37" t="s">
        <v>698</v>
      </c>
    </row>
    <row r="38" spans="1:10" x14ac:dyDescent="0.45">
      <c r="A38" t="s">
        <v>699</v>
      </c>
      <c r="B38" t="s">
        <v>700</v>
      </c>
      <c r="C38" t="s">
        <v>682</v>
      </c>
      <c r="D38">
        <v>69</v>
      </c>
      <c r="E38" t="s">
        <v>516</v>
      </c>
      <c r="F38" s="370">
        <v>-0.51200000000000001</v>
      </c>
      <c r="G38" t="s">
        <v>663</v>
      </c>
      <c r="H38" t="s">
        <v>694</v>
      </c>
      <c r="I38" s="360">
        <v>0</v>
      </c>
      <c r="J38" t="s">
        <v>701</v>
      </c>
    </row>
    <row r="39" spans="1:10" x14ac:dyDescent="0.45">
      <c r="A39" t="s">
        <v>702</v>
      </c>
      <c r="B39" t="s">
        <v>703</v>
      </c>
      <c r="C39" t="s">
        <v>682</v>
      </c>
      <c r="D39">
        <v>63</v>
      </c>
      <c r="E39" t="s">
        <v>516</v>
      </c>
      <c r="F39" s="370">
        <v>-0.35099999999999998</v>
      </c>
      <c r="G39" t="s">
        <v>694</v>
      </c>
      <c r="H39" t="s">
        <v>694</v>
      </c>
      <c r="I39" s="360">
        <v>0</v>
      </c>
      <c r="J39" t="s">
        <v>704</v>
      </c>
    </row>
    <row r="40" spans="1:10" x14ac:dyDescent="0.45">
      <c r="A40" t="s">
        <v>705</v>
      </c>
      <c r="B40" t="s">
        <v>706</v>
      </c>
      <c r="C40" t="s">
        <v>638</v>
      </c>
      <c r="D40" s="288">
        <v>56</v>
      </c>
      <c r="E40" t="s">
        <v>516</v>
      </c>
      <c r="F40" s="369">
        <v>0.03</v>
      </c>
      <c r="G40" t="s">
        <v>694</v>
      </c>
      <c r="H40" t="s">
        <v>694</v>
      </c>
      <c r="I40" s="360">
        <v>0</v>
      </c>
      <c r="J40" t="s">
        <v>707</v>
      </c>
    </row>
    <row r="41" spans="1:10" x14ac:dyDescent="0.45">
      <c r="A41" t="s">
        <v>708</v>
      </c>
      <c r="B41" t="s">
        <v>709</v>
      </c>
      <c r="C41" t="s">
        <v>710</v>
      </c>
      <c r="D41" s="288">
        <v>59</v>
      </c>
      <c r="E41" t="s">
        <v>516</v>
      </c>
      <c r="F41" s="370">
        <v>-6.6000000000000003E-2</v>
      </c>
      <c r="G41" t="s">
        <v>694</v>
      </c>
      <c r="H41" t="s">
        <v>694</v>
      </c>
      <c r="I41" s="360">
        <v>0</v>
      </c>
      <c r="J41" t="s">
        <v>711</v>
      </c>
    </row>
    <row r="43" spans="1:10" ht="15.75" x14ac:dyDescent="0.5">
      <c r="A43" s="355" t="s">
        <v>798</v>
      </c>
    </row>
    <row r="44" spans="1:10" x14ac:dyDescent="0.45">
      <c r="A44" s="371" t="s">
        <v>712</v>
      </c>
      <c r="B44" s="371" t="s">
        <v>627</v>
      </c>
      <c r="C44" s="371" t="s">
        <v>628</v>
      </c>
      <c r="D44" s="371" t="s">
        <v>630</v>
      </c>
      <c r="E44" s="371" t="s">
        <v>632</v>
      </c>
      <c r="F44" s="371" t="s">
        <v>713</v>
      </c>
      <c r="G44" s="371" t="s">
        <v>714</v>
      </c>
    </row>
    <row r="45" spans="1:10" x14ac:dyDescent="0.45">
      <c r="A45" t="s">
        <v>715</v>
      </c>
      <c r="B45" s="293" t="s">
        <v>636</v>
      </c>
      <c r="C45" t="s">
        <v>637</v>
      </c>
      <c r="D45" s="347">
        <v>92</v>
      </c>
      <c r="E45" s="366">
        <v>0.315</v>
      </c>
      <c r="F45" t="s">
        <v>639</v>
      </c>
      <c r="G45" t="s">
        <v>716</v>
      </c>
    </row>
    <row r="46" spans="1:10" x14ac:dyDescent="0.45">
      <c r="A46" t="s">
        <v>717</v>
      </c>
      <c r="B46" s="293" t="s">
        <v>644</v>
      </c>
      <c r="C46" t="s">
        <v>645</v>
      </c>
      <c r="D46" s="347">
        <v>88</v>
      </c>
      <c r="E46" s="366">
        <v>0.27500000000000002</v>
      </c>
      <c r="F46" t="s">
        <v>639</v>
      </c>
      <c r="G46" t="s">
        <v>718</v>
      </c>
    </row>
    <row r="47" spans="1:10" x14ac:dyDescent="0.45">
      <c r="A47" t="s">
        <v>719</v>
      </c>
      <c r="B47" s="293" t="s">
        <v>649</v>
      </c>
      <c r="C47" t="s">
        <v>650</v>
      </c>
      <c r="D47" s="347">
        <v>82</v>
      </c>
      <c r="E47" s="366">
        <v>0.48399999999999999</v>
      </c>
      <c r="F47" t="s">
        <v>651</v>
      </c>
      <c r="G47" t="s">
        <v>720</v>
      </c>
    </row>
    <row r="48" spans="1:10" x14ac:dyDescent="0.45">
      <c r="A48" t="s">
        <v>721</v>
      </c>
      <c r="B48" s="293" t="s">
        <v>722</v>
      </c>
      <c r="C48" t="s">
        <v>723</v>
      </c>
      <c r="D48" s="347">
        <v>74</v>
      </c>
      <c r="E48" s="366">
        <v>0.21199999999999999</v>
      </c>
      <c r="F48" t="s">
        <v>657</v>
      </c>
      <c r="G48" t="s">
        <v>724</v>
      </c>
    </row>
    <row r="49" spans="1:7" x14ac:dyDescent="0.45">
      <c r="A49" t="s">
        <v>725</v>
      </c>
      <c r="B49" s="293" t="s">
        <v>660</v>
      </c>
      <c r="C49" t="s">
        <v>661</v>
      </c>
      <c r="D49" s="347">
        <v>76</v>
      </c>
      <c r="E49" s="366">
        <v>0.47099999999999997</v>
      </c>
      <c r="F49" t="s">
        <v>651</v>
      </c>
      <c r="G49" t="s">
        <v>726</v>
      </c>
    </row>
    <row r="51" spans="1:7" ht="15.75" x14ac:dyDescent="0.5">
      <c r="A51" s="355" t="s">
        <v>727</v>
      </c>
    </row>
    <row r="53" spans="1:7" x14ac:dyDescent="0.45">
      <c r="A53" s="359" t="s">
        <v>728</v>
      </c>
      <c r="B53" s="359" t="s">
        <v>729</v>
      </c>
      <c r="C53" s="359" t="s">
        <v>730</v>
      </c>
      <c r="D53" s="359" t="s">
        <v>731</v>
      </c>
      <c r="E53" s="359" t="s">
        <v>732</v>
      </c>
    </row>
    <row r="54" spans="1:7" x14ac:dyDescent="0.45">
      <c r="A54" s="347" t="s">
        <v>733</v>
      </c>
      <c r="B54" t="s">
        <v>734</v>
      </c>
      <c r="C54" t="s">
        <v>734</v>
      </c>
      <c r="D54" t="s">
        <v>756</v>
      </c>
      <c r="E54" t="s">
        <v>735</v>
      </c>
    </row>
    <row r="55" spans="1:7" x14ac:dyDescent="0.45">
      <c r="A55" s="372" t="s">
        <v>736</v>
      </c>
      <c r="B55" t="s">
        <v>737</v>
      </c>
      <c r="C55" t="s">
        <v>738</v>
      </c>
      <c r="D55" t="s">
        <v>739</v>
      </c>
      <c r="E55" t="s">
        <v>740</v>
      </c>
    </row>
    <row r="56" spans="1:7" x14ac:dyDescent="0.45">
      <c r="A56" s="293" t="s">
        <v>741</v>
      </c>
      <c r="B56" t="s">
        <v>742</v>
      </c>
      <c r="C56" t="s">
        <v>743</v>
      </c>
      <c r="D56" t="s">
        <v>739</v>
      </c>
      <c r="E56" t="s">
        <v>744</v>
      </c>
    </row>
    <row r="57" spans="1:7" x14ac:dyDescent="0.45">
      <c r="A57" s="354" t="s">
        <v>745</v>
      </c>
      <c r="B57" t="s">
        <v>746</v>
      </c>
      <c r="C57" t="s">
        <v>747</v>
      </c>
      <c r="D57" t="s">
        <v>748</v>
      </c>
      <c r="E57" t="s">
        <v>749</v>
      </c>
    </row>
    <row r="58" spans="1:7" x14ac:dyDescent="0.45">
      <c r="A58" t="s">
        <v>750</v>
      </c>
      <c r="B58" s="360">
        <v>0</v>
      </c>
      <c r="C58" s="360">
        <v>0</v>
      </c>
      <c r="D58" t="s">
        <v>757</v>
      </c>
      <c r="E58" t="s">
        <v>751</v>
      </c>
    </row>
    <row r="59" spans="1:7" x14ac:dyDescent="0.45">
      <c r="A59" s="296" t="s">
        <v>752</v>
      </c>
      <c r="B59" s="360">
        <v>0.05</v>
      </c>
      <c r="C59" s="296" t="s">
        <v>753</v>
      </c>
      <c r="D59" s="344" t="s">
        <v>754</v>
      </c>
      <c r="E59" t="s">
        <v>755</v>
      </c>
    </row>
    <row r="61" spans="1:7" x14ac:dyDescent="0.45">
      <c r="A61" s="297" t="s">
        <v>799</v>
      </c>
    </row>
    <row r="62" spans="1:7" x14ac:dyDescent="0.45">
      <c r="A62" s="383" t="s">
        <v>800</v>
      </c>
    </row>
    <row r="63" spans="1:7" x14ac:dyDescent="0.45">
      <c r="A63" s="373" t="s">
        <v>801</v>
      </c>
    </row>
    <row r="64" spans="1:7" x14ac:dyDescent="0.45">
      <c r="A64" s="383" t="s">
        <v>802</v>
      </c>
    </row>
    <row r="65" spans="1:10" x14ac:dyDescent="0.45">
      <c r="A65" s="373" t="s">
        <v>803</v>
      </c>
    </row>
    <row r="66" spans="1:10" x14ac:dyDescent="0.45">
      <c r="A66" s="298" t="s">
        <v>804</v>
      </c>
    </row>
    <row r="68" spans="1:10" ht="17.25" x14ac:dyDescent="0.55000000000000004">
      <c r="A68" s="432" t="s">
        <v>878</v>
      </c>
    </row>
    <row r="69" spans="1:10" x14ac:dyDescent="0.45">
      <c r="A69" s="428" t="s">
        <v>879</v>
      </c>
    </row>
    <row r="71" spans="1:10" x14ac:dyDescent="0.45">
      <c r="A71" s="406" t="s">
        <v>2</v>
      </c>
      <c r="B71" s="405" t="s">
        <v>627</v>
      </c>
      <c r="C71" s="406" t="s">
        <v>833</v>
      </c>
      <c r="D71" s="405" t="s">
        <v>834</v>
      </c>
      <c r="E71" s="406" t="s">
        <v>835</v>
      </c>
      <c r="F71" s="406" t="s">
        <v>836</v>
      </c>
      <c r="G71" s="406" t="s">
        <v>837</v>
      </c>
      <c r="H71" s="406" t="s">
        <v>630</v>
      </c>
      <c r="I71" s="406" t="s">
        <v>838</v>
      </c>
      <c r="J71" s="406" t="s">
        <v>430</v>
      </c>
    </row>
    <row r="72" spans="1:10" x14ac:dyDescent="0.45">
      <c r="A72" s="407">
        <v>1</v>
      </c>
      <c r="B72" s="382" t="s">
        <v>685</v>
      </c>
      <c r="C72" s="408">
        <v>2.7E-2</v>
      </c>
      <c r="D72" s="382" t="s">
        <v>839</v>
      </c>
      <c r="E72" s="409">
        <v>1</v>
      </c>
      <c r="F72" s="410">
        <v>496005</v>
      </c>
      <c r="G72" s="408">
        <v>7.6999999999999999E-2</v>
      </c>
      <c r="H72">
        <v>86</v>
      </c>
      <c r="I72" s="411">
        <v>-0.129</v>
      </c>
      <c r="J72" t="s">
        <v>880</v>
      </c>
    </row>
    <row r="73" spans="1:10" x14ac:dyDescent="0.45">
      <c r="A73" s="407">
        <v>2</v>
      </c>
      <c r="B73" s="382" t="s">
        <v>841</v>
      </c>
      <c r="C73" s="408">
        <v>2.1000000000000001E-2</v>
      </c>
      <c r="D73" s="382" t="s">
        <v>842</v>
      </c>
      <c r="E73" s="409">
        <v>0.5</v>
      </c>
      <c r="F73" s="410">
        <v>199934</v>
      </c>
      <c r="G73" s="408">
        <v>8.6999999999999994E-2</v>
      </c>
      <c r="H73" t="s">
        <v>410</v>
      </c>
      <c r="I73" s="411" t="s">
        <v>410</v>
      </c>
      <c r="J73" t="s">
        <v>881</v>
      </c>
    </row>
    <row r="74" spans="1:10" x14ac:dyDescent="0.45">
      <c r="A74" s="407">
        <v>3</v>
      </c>
      <c r="B74" s="382" t="s">
        <v>843</v>
      </c>
      <c r="C74" s="408">
        <v>1.2999999999999999E-2</v>
      </c>
      <c r="D74" s="382" t="s">
        <v>842</v>
      </c>
      <c r="E74" s="409">
        <v>0.5</v>
      </c>
      <c r="F74" s="410">
        <v>125090</v>
      </c>
      <c r="G74" s="408">
        <v>9.4E-2</v>
      </c>
      <c r="H74" t="s">
        <v>410</v>
      </c>
      <c r="I74" t="s">
        <v>410</v>
      </c>
      <c r="J74" t="s">
        <v>882</v>
      </c>
    </row>
    <row r="75" spans="1:10" x14ac:dyDescent="0.45">
      <c r="A75" s="412">
        <v>4</v>
      </c>
      <c r="B75" s="413" t="s">
        <v>840</v>
      </c>
      <c r="C75" s="414">
        <v>5.6000000000000001E-2</v>
      </c>
      <c r="D75" s="413" t="s">
        <v>845</v>
      </c>
      <c r="E75" s="415">
        <v>0.25</v>
      </c>
      <c r="F75" s="416">
        <v>262169</v>
      </c>
      <c r="G75" s="433" t="s">
        <v>883</v>
      </c>
      <c r="H75" s="417">
        <v>83</v>
      </c>
      <c r="I75" s="434">
        <v>-4.0000000000000001E-3</v>
      </c>
      <c r="J75" s="362" t="s">
        <v>884</v>
      </c>
    </row>
    <row r="76" spans="1:10" x14ac:dyDescent="0.45">
      <c r="A76" s="418">
        <v>5</v>
      </c>
      <c r="B76" s="419" t="s">
        <v>844</v>
      </c>
      <c r="C76" s="420">
        <v>0.03</v>
      </c>
      <c r="D76" s="419" t="s">
        <v>846</v>
      </c>
      <c r="E76" s="421">
        <v>0.2</v>
      </c>
      <c r="F76" s="422">
        <v>110010</v>
      </c>
      <c r="G76" s="420">
        <v>0.114</v>
      </c>
      <c r="H76" s="391" t="s">
        <v>410</v>
      </c>
      <c r="I76" s="391" t="s">
        <v>410</v>
      </c>
      <c r="J76" s="391" t="s">
        <v>885</v>
      </c>
    </row>
    <row r="78" spans="1:10" x14ac:dyDescent="0.45">
      <c r="A78" s="436" t="s">
        <v>886</v>
      </c>
    </row>
    <row r="83" spans="1:4" ht="15.75" x14ac:dyDescent="0.5">
      <c r="A83" s="423" t="s">
        <v>847</v>
      </c>
    </row>
    <row r="84" spans="1:4" x14ac:dyDescent="0.45">
      <c r="A84" s="424" t="s">
        <v>627</v>
      </c>
      <c r="B84" s="425" t="s">
        <v>848</v>
      </c>
      <c r="C84" s="424" t="s">
        <v>849</v>
      </c>
      <c r="D84" s="424" t="s">
        <v>430</v>
      </c>
    </row>
    <row r="85" spans="1:4" x14ac:dyDescent="0.45">
      <c r="A85" s="347" t="s">
        <v>636</v>
      </c>
      <c r="B85" s="408">
        <v>3.4000000000000002E-2</v>
      </c>
      <c r="C85" t="s">
        <v>850</v>
      </c>
      <c r="D85" t="s">
        <v>851</v>
      </c>
    </row>
    <row r="86" spans="1:4" x14ac:dyDescent="0.45">
      <c r="A86" s="347" t="s">
        <v>644</v>
      </c>
      <c r="B86" s="408">
        <v>4.1000000000000002E-2</v>
      </c>
      <c r="C86" t="s">
        <v>852</v>
      </c>
      <c r="D86" t="s">
        <v>853</v>
      </c>
    </row>
    <row r="87" spans="1:4" x14ac:dyDescent="0.45">
      <c r="A87" s="347" t="s">
        <v>649</v>
      </c>
      <c r="B87" s="408">
        <v>6.3E-2</v>
      </c>
      <c r="C87" t="s">
        <v>854</v>
      </c>
      <c r="D87" t="s">
        <v>855</v>
      </c>
    </row>
    <row r="88" spans="1:4" x14ac:dyDescent="0.45">
      <c r="A88" s="347" t="s">
        <v>856</v>
      </c>
      <c r="B88" s="408">
        <v>5.7000000000000002E-2</v>
      </c>
      <c r="C88" t="s">
        <v>857</v>
      </c>
      <c r="D88" t="s">
        <v>858</v>
      </c>
    </row>
    <row r="89" spans="1:4" x14ac:dyDescent="0.45">
      <c r="A89" s="347" t="s">
        <v>859</v>
      </c>
      <c r="B89" s="408">
        <v>0.05</v>
      </c>
      <c r="C89" t="s">
        <v>857</v>
      </c>
      <c r="D89" t="s">
        <v>860</v>
      </c>
    </row>
    <row r="90" spans="1:4" x14ac:dyDescent="0.45">
      <c r="A90" s="347" t="s">
        <v>861</v>
      </c>
      <c r="B90" s="408">
        <v>3.9E-2</v>
      </c>
      <c r="C90" t="s">
        <v>857</v>
      </c>
      <c r="D90" t="s">
        <v>862</v>
      </c>
    </row>
    <row r="91" spans="1:4" x14ac:dyDescent="0.45">
      <c r="A91" s="347" t="s">
        <v>863</v>
      </c>
      <c r="B91" s="408">
        <v>3.5000000000000003E-2</v>
      </c>
      <c r="C91" t="s">
        <v>857</v>
      </c>
      <c r="D91" t="s">
        <v>864</v>
      </c>
    </row>
    <row r="92" spans="1:4" x14ac:dyDescent="0.45">
      <c r="A92" s="347" t="s">
        <v>865</v>
      </c>
      <c r="B92" s="408">
        <v>3.7999999999999999E-2</v>
      </c>
      <c r="C92" t="s">
        <v>866</v>
      </c>
      <c r="D92" t="s">
        <v>867</v>
      </c>
    </row>
    <row r="93" spans="1:4" x14ac:dyDescent="0.45">
      <c r="A93" s="347" t="s">
        <v>868</v>
      </c>
      <c r="B93" s="408">
        <v>0.03</v>
      </c>
      <c r="C93" t="s">
        <v>869</v>
      </c>
      <c r="D93" t="s">
        <v>870</v>
      </c>
    </row>
    <row r="94" spans="1:4" x14ac:dyDescent="0.45">
      <c r="A94" s="347" t="s">
        <v>871</v>
      </c>
      <c r="B94" s="408">
        <v>2.1000000000000001E-2</v>
      </c>
      <c r="C94" t="s">
        <v>869</v>
      </c>
      <c r="D94" t="s">
        <v>872</v>
      </c>
    </row>
    <row r="95" spans="1:4" x14ac:dyDescent="0.45">
      <c r="A95" s="347" t="s">
        <v>873</v>
      </c>
      <c r="B95" s="408">
        <v>2.1000000000000001E-2</v>
      </c>
      <c r="C95" t="s">
        <v>869</v>
      </c>
      <c r="D95" t="s">
        <v>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B5 - Market Regime</vt:lpstr>
      <vt:lpstr>Historical Log</vt:lpstr>
      <vt:lpstr>📖 Indicator Guide</vt:lpstr>
      <vt:lpstr>📋 Sources</vt:lpstr>
      <vt:lpstr>📊 Backtest</vt:lpstr>
      <vt:lpstr>🔗 B1↔B5 Bridge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Pinillos</dc:creator>
  <cp:lastModifiedBy>Francisco Pinillos</cp:lastModifiedBy>
  <dcterms:created xsi:type="dcterms:W3CDTF">2026-02-13T13:23:18Z</dcterms:created>
  <dcterms:modified xsi:type="dcterms:W3CDTF">2026-03-23T08:46:23Z</dcterms:modified>
</cp:coreProperties>
</file>